
<file path=[Content_Types].xml><?xml version="1.0" encoding="utf-8"?>
<Types xmlns="http://schemas.openxmlformats.org/package/2006/content-types">
  <Default Extension="bin" ContentType="application/vnd.ms-office.activeX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ms-excel.sheet.macroEnabled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activeX/activeX1.xml" ContentType="application/vnd.ms-office.activeX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printerSettings/printerSettings1.bin" ContentType="application/vnd.openxmlformats-officedocument.spreadsheetml.printerSettings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xl/vbaProject.bin" ContentType="application/vnd.ms-office.vbaProject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 codeName="{E757BCB4-07E6-AE0B-56E0-F0EEF7A6E26C}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Windows 10\Documents\ALMACEN ALEXANDRA\PRECIOS DE A-A\"/>
    </mc:Choice>
  </mc:AlternateContent>
  <xr:revisionPtr revIDLastSave="0" documentId="13_ncr:1_{64FA742B-2B69-4C2C-B219-37E343977246}" xr6:coauthVersionLast="47" xr6:coauthVersionMax="47" xr10:uidLastSave="{00000000-0000-0000-0000-000000000000}"/>
  <bookViews>
    <workbookView xWindow="-120" yWindow="-120" windowWidth="20730" windowHeight="11160" tabRatio="963" activeTab="9" xr2:uid="{3D8FEF2B-C803-4F13-9C9E-D75AA0233513}"/>
  </bookViews>
  <sheets>
    <sheet name="CONSERVAS" sheetId="7" r:id="rId1"/>
    <sheet name="COCINA" sheetId="11" r:id="rId2"/>
    <sheet name="LIMPIEZA" sheetId="1" r:id="rId3"/>
    <sheet name="LÁCTEOS" sheetId="5" r:id="rId4"/>
    <sheet name="DULCES" sheetId="10" r:id="rId5"/>
    <sheet name="GALLETAS" sheetId="4" r:id="rId6"/>
    <sheet name="CIGARROS" sheetId="3" r:id="rId7"/>
    <sheet name="PLASTICOS" sheetId="2" r:id="rId8"/>
    <sheet name="BEBIDAS SA" sheetId="8" r:id="rId9"/>
    <sheet name="BEBIDAS CA" sheetId="9" r:id="rId10"/>
    <sheet name="MAT.HOGAR" sheetId="12" r:id="rId11"/>
    <sheet name="MEDICAMENTOS" sheetId="6" r:id="rId12"/>
    <sheet name="NUMEROS" sheetId="13" r:id="rId13"/>
  </sheets>
  <definedNames>
    <definedName name="_xlnm._FilterDatabase" localSheetId="2" hidden="1">LIMPIEZA!$A$6:$G$92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35" i="11" l="1"/>
  <c r="G51" i="10"/>
  <c r="E21" i="12"/>
  <c r="G29" i="10"/>
  <c r="G42" i="10"/>
  <c r="F17" i="8"/>
  <c r="G58" i="9"/>
  <c r="G69" i="1"/>
  <c r="I54" i="9" l="1"/>
  <c r="H54" i="9"/>
  <c r="G38" i="4"/>
  <c r="F9" i="6"/>
  <c r="F17" i="12" l="1"/>
</calcChain>
</file>

<file path=xl/sharedStrings.xml><?xml version="1.0" encoding="utf-8"?>
<sst xmlns="http://schemas.openxmlformats.org/spreadsheetml/2006/main" count="987" uniqueCount="630">
  <si>
    <t>CODIGO</t>
  </si>
  <si>
    <t>PRODUCTO</t>
  </si>
  <si>
    <t xml:space="preserve">DESCRIPCIÓN </t>
  </si>
  <si>
    <t>PRECIO UNITARIO</t>
  </si>
  <si>
    <t xml:space="preserve">PRECIO POR MAYOR </t>
  </si>
  <si>
    <t>N°</t>
  </si>
  <si>
    <t>TIPO DE PRODUCTOS</t>
  </si>
  <si>
    <t>LIMPIEZA</t>
  </si>
  <si>
    <t xml:space="preserve">LISTA DE PRECIOS ALMACEN ALEXANDRA </t>
  </si>
  <si>
    <t>OLA</t>
  </si>
  <si>
    <t xml:space="preserve">ANTIGRASA </t>
  </si>
  <si>
    <t xml:space="preserve">LIMPIA MUEBLES </t>
  </si>
  <si>
    <t xml:space="preserve">LIMPIA VIDRIO </t>
  </si>
  <si>
    <t>ANTISARRO</t>
  </si>
  <si>
    <t>CATIDAD EN UND.</t>
  </si>
  <si>
    <t>DETERGENTE DE 00 G.</t>
  </si>
  <si>
    <t>JAVON EN BARRA</t>
  </si>
  <si>
    <t>SUAVESITO DE 00 ML</t>
  </si>
  <si>
    <t>SUAVESITO EN BOLSA DE 00 ML</t>
  </si>
  <si>
    <t>JAVON LIQUIDO DE 00 ML</t>
  </si>
  <si>
    <t xml:space="preserve">ZANITIZADOR CON PICO </t>
  </si>
  <si>
    <t xml:space="preserve">JAVON LIQUIDO EN PICO </t>
  </si>
  <si>
    <t>A-AP01</t>
  </si>
  <si>
    <t>CODIGO ITEM</t>
  </si>
  <si>
    <t xml:space="preserve">BUSCADOR </t>
  </si>
  <si>
    <t>COCINA</t>
  </si>
  <si>
    <t>PLASTICOS</t>
  </si>
  <si>
    <t>PIL</t>
  </si>
  <si>
    <t>LECHE EN LATA DE 2200 G.</t>
  </si>
  <si>
    <t>LECHE EN LATA DE 1800 G.</t>
  </si>
  <si>
    <t>LECHE EN LATA DE 760 G.</t>
  </si>
  <si>
    <t>LECHE LIQUIDA EN BOLSA 1LT</t>
  </si>
  <si>
    <t>LECHE DESLACTOSADA EN BOLSA 1LT</t>
  </si>
  <si>
    <t>LECHE SABORIZADA EN BOLSA 1LT</t>
  </si>
  <si>
    <t>LECHE DESLACTOSADA EN CAJA 1LT</t>
  </si>
  <si>
    <t>CIGARROS</t>
  </si>
  <si>
    <t>GALLETAS</t>
  </si>
  <si>
    <t>DULCES</t>
  </si>
  <si>
    <t>LÁCTEOS</t>
  </si>
  <si>
    <t>MEDICAMENTOS</t>
  </si>
  <si>
    <t>BEBIDAS SIN ALCOHOL</t>
  </si>
  <si>
    <t>BEBIDAS CON ALCOHOL</t>
  </si>
  <si>
    <t>A-AP02</t>
  </si>
  <si>
    <t>A-AP03</t>
  </si>
  <si>
    <t>A-AP04</t>
  </si>
  <si>
    <t>A-AP05</t>
  </si>
  <si>
    <t>A-AP06</t>
  </si>
  <si>
    <t>A-AP07</t>
  </si>
  <si>
    <t>A-AP08</t>
  </si>
  <si>
    <t>A-AP09</t>
  </si>
  <si>
    <t>A-AP10</t>
  </si>
  <si>
    <t>PATITO</t>
  </si>
  <si>
    <t>DETERGENTE PATITO P</t>
  </si>
  <si>
    <t>DETERGENTE PATITO G</t>
  </si>
  <si>
    <t>DETERGENTE PATITO 5 KG</t>
  </si>
  <si>
    <t xml:space="preserve">UNO </t>
  </si>
  <si>
    <t>BARRA DE JAVON UNO</t>
  </si>
  <si>
    <t>SURF</t>
  </si>
  <si>
    <t>DETERGENTE SURF DE 700 G.</t>
  </si>
  <si>
    <t xml:space="preserve">CIELO </t>
  </si>
  <si>
    <t>DETERGENTE CIELO DE 700 G.</t>
  </si>
  <si>
    <t>DETERGENTE CIELO DE 4 KG.</t>
  </si>
  <si>
    <t>TODO BRILLO</t>
  </si>
  <si>
    <t>DETERGENTE TODO BRILLO P</t>
  </si>
  <si>
    <t>DETERGENTE TODO BRILLO 700 G.</t>
  </si>
  <si>
    <t>DETERGENTE TODO BRILLO 4,5 KG.</t>
  </si>
  <si>
    <t xml:space="preserve">OMO </t>
  </si>
  <si>
    <t>DETERGENTE OMO 700 G.</t>
  </si>
  <si>
    <t>DETERGENTE OMO P</t>
  </si>
  <si>
    <t xml:space="preserve">ARROZ PRIMERA </t>
  </si>
  <si>
    <t xml:space="preserve">ARRROZ ECONOMICO </t>
  </si>
  <si>
    <t>ARROZ EI</t>
  </si>
  <si>
    <t>ARROZ 3/4</t>
  </si>
  <si>
    <t>AZUCAR GUABIRA</t>
  </si>
  <si>
    <t>AZUCAR AGUAÍ</t>
  </si>
  <si>
    <t>SAL DE 5 KG.</t>
  </si>
  <si>
    <t>SAL DE 1 KG. MESA</t>
  </si>
  <si>
    <t xml:space="preserve">SAL ROJA </t>
  </si>
  <si>
    <t xml:space="preserve">FIDEO SAN PEDRO </t>
  </si>
  <si>
    <t xml:space="preserve">FIDEO LAZZARINI </t>
  </si>
  <si>
    <t xml:space="preserve">DON VICTORIO </t>
  </si>
  <si>
    <t xml:space="preserve">FIDEO FAMOSA </t>
  </si>
  <si>
    <t xml:space="preserve">HARINA FAMOSA </t>
  </si>
  <si>
    <t>SPAGUETTI FAMOSA</t>
  </si>
  <si>
    <t>HARINA CAÑUELA 0000</t>
  </si>
  <si>
    <t>HARINA 000</t>
  </si>
  <si>
    <t xml:space="preserve">ACEITE PATRONA DE 2LT. </t>
  </si>
  <si>
    <t>ACEITE SOYA DE 1 LT.</t>
  </si>
  <si>
    <t>ACEITE LUISA DE 1 LT.</t>
  </si>
  <si>
    <t xml:space="preserve">ACEITE FINO LIGTH DE 1 LT. </t>
  </si>
  <si>
    <t xml:space="preserve">ACEITE FINO LIGTH DE 5 LT. </t>
  </si>
  <si>
    <t xml:space="preserve">FLOR DE CAÑA </t>
  </si>
  <si>
    <t>ACEITE FINO AMARRILLO 5 LT.</t>
  </si>
  <si>
    <t xml:space="preserve">ACEITE SAO 5 LT. </t>
  </si>
  <si>
    <t>46 KG.</t>
  </si>
  <si>
    <t>ARROZ ECONOMICO NARANJA</t>
  </si>
  <si>
    <t>CONSERVAS EN LATA</t>
  </si>
  <si>
    <t>STOLISNAYA</t>
  </si>
  <si>
    <t xml:space="preserve">DOBLE V </t>
  </si>
  <si>
    <t>CASA REAL NEGRO</t>
  </si>
  <si>
    <t>CASA REAL ROJO</t>
  </si>
  <si>
    <t xml:space="preserve">CASA REAL AZUL </t>
  </si>
  <si>
    <t xml:space="preserve">SAN PEDRO NEGRO </t>
  </si>
  <si>
    <t>RON SOLERA 1873</t>
  </si>
  <si>
    <t>JOSE CUERVO BLANCO</t>
  </si>
  <si>
    <t>JOSE CUERVO TINTO</t>
  </si>
  <si>
    <t>TEQUILA</t>
  </si>
  <si>
    <t>SINGANI</t>
  </si>
  <si>
    <t>RON</t>
  </si>
  <si>
    <t>VINO</t>
  </si>
  <si>
    <t>TORO VIEJO</t>
  </si>
  <si>
    <t>COHLBERS TINTO</t>
  </si>
  <si>
    <t>COHLBERS BLANCO</t>
  </si>
  <si>
    <t>TERRUÑO ARANJUEZ CLASICO</t>
  </si>
  <si>
    <t xml:space="preserve">CHANCELLER </t>
  </si>
  <si>
    <t xml:space="preserve">LOS PARRALES </t>
  </si>
  <si>
    <t>RUJERO</t>
  </si>
  <si>
    <t>LECHE EN POLVO 2200 G.</t>
  </si>
  <si>
    <t>LECHE EN POLVO 760 G.</t>
  </si>
  <si>
    <t>LECHE EN POLVO 120 G.</t>
  </si>
  <si>
    <t>MABEL'S</t>
  </si>
  <si>
    <t>MORADITAS</t>
  </si>
  <si>
    <t>GAUCHITAS</t>
  </si>
  <si>
    <t>MARIA MAICENA</t>
  </si>
  <si>
    <t>WAFER G.</t>
  </si>
  <si>
    <t>WAFER P.</t>
  </si>
  <si>
    <t xml:space="preserve">ROSQUITAS DE </t>
  </si>
  <si>
    <t>RITZ</t>
  </si>
  <si>
    <t>OREO</t>
  </si>
  <si>
    <t>MENTISAN P</t>
  </si>
  <si>
    <t>MENTISAN G</t>
  </si>
  <si>
    <t xml:space="preserve">DOLORSON P </t>
  </si>
  <si>
    <t xml:space="preserve">DOLORSON G </t>
  </si>
  <si>
    <t xml:space="preserve">PARACETAMOL </t>
  </si>
  <si>
    <t>DICLOFENACO</t>
  </si>
  <si>
    <t xml:space="preserve">FLAGON </t>
  </si>
  <si>
    <t xml:space="preserve">AKITA </t>
  </si>
  <si>
    <t xml:space="preserve">RAYOBAC </t>
  </si>
  <si>
    <t>RAYOBAC AA</t>
  </si>
  <si>
    <t>RAYOBAC AAA</t>
  </si>
  <si>
    <t>HARINA CELECCIÓN 000</t>
  </si>
  <si>
    <t>CHUBI</t>
  </si>
  <si>
    <t>ARCOR</t>
  </si>
  <si>
    <t>BELDENT</t>
  </si>
  <si>
    <t>BELDENT INFINIT</t>
  </si>
  <si>
    <t xml:space="preserve">BON O BON </t>
  </si>
  <si>
    <t xml:space="preserve">GOLAZO </t>
  </si>
  <si>
    <t>X-6</t>
  </si>
  <si>
    <t xml:space="preserve">X-6 PEQUEÑO </t>
  </si>
  <si>
    <t xml:space="preserve">SAPITO </t>
  </si>
  <si>
    <t xml:space="preserve">CLUB SOCIAL </t>
  </si>
  <si>
    <t>CHOCO SODA</t>
  </si>
  <si>
    <t xml:space="preserve">CHIP AHOY </t>
  </si>
  <si>
    <t>BELEN</t>
  </si>
  <si>
    <t>VASO DE 120 ML</t>
  </si>
  <si>
    <t>VASO DE 150ML</t>
  </si>
  <si>
    <t>VASO DE 180 ML</t>
  </si>
  <si>
    <t>VASO DE 200 ML</t>
  </si>
  <si>
    <t>VASO DE 300 ML</t>
  </si>
  <si>
    <t>VASO DE 400 ML</t>
  </si>
  <si>
    <t>VASO DE 500 ML</t>
  </si>
  <si>
    <t>VASO CERBEZERO</t>
  </si>
  <si>
    <t>KEVIN</t>
  </si>
  <si>
    <t xml:space="preserve">PLATILLOS PLANOS </t>
  </si>
  <si>
    <t xml:space="preserve">PLATILLOS HONDOS </t>
  </si>
  <si>
    <t xml:space="preserve">CUACHARRILLAS </t>
  </si>
  <si>
    <t xml:space="preserve">CUACHARRILLAS DE COLORES </t>
  </si>
  <si>
    <t>CUCHARAS GRANDES</t>
  </si>
  <si>
    <t xml:space="preserve">CUCHARAS MEDIANA </t>
  </si>
  <si>
    <t>BOMBILLAS NORMALES</t>
  </si>
  <si>
    <t xml:space="preserve">BOMBILLAS DE DOBLAR </t>
  </si>
  <si>
    <t>TAPAS DE VASO DE 500 ML</t>
  </si>
  <si>
    <t xml:space="preserve">BANDEJAS GRANDE </t>
  </si>
  <si>
    <t xml:space="preserve">BANDEJAS MEDIANA </t>
  </si>
  <si>
    <t xml:space="preserve">BANDEJAS PEQUEÑA </t>
  </si>
  <si>
    <t>PLATOS 1/4</t>
  </si>
  <si>
    <t>PLATOS 1/8</t>
  </si>
  <si>
    <t xml:space="preserve">PLATOS DE DE PLASTOFORM </t>
  </si>
  <si>
    <t xml:space="preserve">TENEDORES PLASTICOS </t>
  </si>
  <si>
    <t xml:space="preserve">CUCHILLAS PLASTICAS </t>
  </si>
  <si>
    <t>CHISMOSA M</t>
  </si>
  <si>
    <t>CHISMOSA P</t>
  </si>
  <si>
    <t>MARUTEX</t>
  </si>
  <si>
    <t>PAPEL FILM DE 300MMX300M</t>
  </si>
  <si>
    <t xml:space="preserve">PNCHILLO </t>
  </si>
  <si>
    <t xml:space="preserve">PONCHILLO </t>
  </si>
  <si>
    <t>BOLSA</t>
  </si>
  <si>
    <t>5X25</t>
  </si>
  <si>
    <t>4X26</t>
  </si>
  <si>
    <t>16X25</t>
  </si>
  <si>
    <t>20X30</t>
  </si>
  <si>
    <t>28X35</t>
  </si>
  <si>
    <t>30X40</t>
  </si>
  <si>
    <t>24X40 O 23X40 DE COCA</t>
  </si>
  <si>
    <t>17X30 DE COCA</t>
  </si>
  <si>
    <t xml:space="preserve">17X34 </t>
  </si>
  <si>
    <t xml:space="preserve">DE 5 KG </t>
  </si>
  <si>
    <t xml:space="preserve">GAVIOTA </t>
  </si>
  <si>
    <t xml:space="preserve">NEGRA </t>
  </si>
  <si>
    <t xml:space="preserve">CIGARRO </t>
  </si>
  <si>
    <t>°10/20</t>
  </si>
  <si>
    <t>CASINO G</t>
  </si>
  <si>
    <t>CASINO P</t>
  </si>
  <si>
    <t xml:space="preserve">CAMBA </t>
  </si>
  <si>
    <t>L &amp; M G</t>
  </si>
  <si>
    <t>L &amp; M P</t>
  </si>
  <si>
    <t>L &amp; M FORWARD G</t>
  </si>
  <si>
    <t>L &amp; M FORWARD P</t>
  </si>
  <si>
    <t xml:space="preserve">L &amp; M CANELA </t>
  </si>
  <si>
    <t>HILLS</t>
  </si>
  <si>
    <t>SLIMS</t>
  </si>
  <si>
    <t>BOHEM</t>
  </si>
  <si>
    <t xml:space="preserve">ESSE </t>
  </si>
  <si>
    <t>LD</t>
  </si>
  <si>
    <t xml:space="preserve">ASTORIA </t>
  </si>
  <si>
    <t>CAMEL G</t>
  </si>
  <si>
    <t>CAMEL P</t>
  </si>
  <si>
    <t>CAMEL ACTIVE G</t>
  </si>
  <si>
    <t>CAMEL ACTIVE P</t>
  </si>
  <si>
    <t>CAMEL DOBLE ACTIVE G</t>
  </si>
  <si>
    <t>CAMEL DOBLE ACTIVE P</t>
  </si>
  <si>
    <t>DETERGENTE UNO DE 5 kG.</t>
  </si>
  <si>
    <t>CHICLETS</t>
  </si>
  <si>
    <t>SARDINA G</t>
  </si>
  <si>
    <t>SARDINA FLACA P</t>
  </si>
  <si>
    <t>SARDINA GORDA P</t>
  </si>
  <si>
    <t xml:space="preserve">SARDINA CHILENA </t>
  </si>
  <si>
    <t>LIDITA</t>
  </si>
  <si>
    <t>ATÚN LIDITA</t>
  </si>
  <si>
    <t xml:space="preserve">ATÚN CALIFORNIA </t>
  </si>
  <si>
    <t>ATÚN PANCHITA</t>
  </si>
  <si>
    <t>CALIFORNIA</t>
  </si>
  <si>
    <t>PANCHITA</t>
  </si>
  <si>
    <t>TRES ESTRELLAS</t>
  </si>
  <si>
    <t>HEAD SHOULDERS P</t>
  </si>
  <si>
    <t>HEAD SHOULDERS M</t>
  </si>
  <si>
    <t>HEAD SHOULDERS G</t>
  </si>
  <si>
    <t>HEAD SHOULDERS G PICO</t>
  </si>
  <si>
    <t>SHAMPOO</t>
  </si>
  <si>
    <t>SEDAL SALCHETS</t>
  </si>
  <si>
    <t>SEDAL FRASCO P</t>
  </si>
  <si>
    <t>SEDAL FRASCO G</t>
  </si>
  <si>
    <t>CREMA SEDAL</t>
  </si>
  <si>
    <t xml:space="preserve">CREMA </t>
  </si>
  <si>
    <t>NACIONAL VERDE 6EN1</t>
  </si>
  <si>
    <t xml:space="preserve">COPELME </t>
  </si>
  <si>
    <t>NACIONAL AZUL 6EN1</t>
  </si>
  <si>
    <t>NACIONAL VERDE 12UND</t>
  </si>
  <si>
    <t>NACIONAL AZUL 12UND</t>
  </si>
  <si>
    <t>EXCERCIOR BLANCO</t>
  </si>
  <si>
    <t>EXCERCIOR GRIS</t>
  </si>
  <si>
    <t>MAIZ AGRANEL</t>
  </si>
  <si>
    <t>MAIZ</t>
  </si>
  <si>
    <t>265/260</t>
  </si>
  <si>
    <t>LAVANDINA BRISTAR 1LT.</t>
  </si>
  <si>
    <t>WATSAP FRASCO G</t>
  </si>
  <si>
    <t>WATSAP FRASCO P</t>
  </si>
  <si>
    <t xml:space="preserve">WATSAP PLANCHITA </t>
  </si>
  <si>
    <t>KILATE</t>
  </si>
  <si>
    <t xml:space="preserve">KILOMBO </t>
  </si>
  <si>
    <t xml:space="preserve">KILATE </t>
  </si>
  <si>
    <t>KILOMBO</t>
  </si>
  <si>
    <t>FIFEO SAN PEDRO</t>
  </si>
  <si>
    <t>160/165</t>
  </si>
  <si>
    <t>SUAVESITO 5 LT.</t>
  </si>
  <si>
    <t>SUAVESITO 1,7 LT</t>
  </si>
  <si>
    <t>SUAVESITO 900 ML. BOLSA</t>
  </si>
  <si>
    <t xml:space="preserve">LAVANDINA SALCHETS </t>
  </si>
  <si>
    <t>LIMPIA PISO 2LT.</t>
  </si>
  <si>
    <t xml:space="preserve">PALITO CHINO </t>
  </si>
  <si>
    <t>MINTY</t>
  </si>
  <si>
    <t>GROSSO</t>
  </si>
  <si>
    <t>JARAFA LAARGO</t>
  </si>
  <si>
    <t>CHIRLITO</t>
  </si>
  <si>
    <t>VASOS PLASTOFORM</t>
  </si>
  <si>
    <t>VASO</t>
  </si>
  <si>
    <t>PLATOS 1/2 JR</t>
  </si>
  <si>
    <t xml:space="preserve">PLATOS 1/2 </t>
  </si>
  <si>
    <t>CHISMOSA G</t>
  </si>
  <si>
    <t>BOLSA 9X25</t>
  </si>
  <si>
    <t>110/210</t>
  </si>
  <si>
    <t>PLATOS 12</t>
  </si>
  <si>
    <t>GUANTE DE LATEX</t>
  </si>
  <si>
    <t>VASITO LLAJUERO</t>
  </si>
  <si>
    <t>TAPA LLAJUERO</t>
  </si>
  <si>
    <t>PAPEL ALUMINIO G</t>
  </si>
  <si>
    <t>PAPEL ALUMINIO M</t>
  </si>
  <si>
    <t>ROYALE</t>
  </si>
  <si>
    <t>58/50</t>
  </si>
  <si>
    <t>BACARDI LIMON</t>
  </si>
  <si>
    <t>FRAC P</t>
  </si>
  <si>
    <t>DOBLE BLACK</t>
  </si>
  <si>
    <t>TRULULU</t>
  </si>
  <si>
    <t>SELFI</t>
  </si>
  <si>
    <t xml:space="preserve">SHAMPOO </t>
  </si>
  <si>
    <t>LIMPIA PISO DE 900 ML</t>
  </si>
  <si>
    <t>LIMPIA PISO DE 2 LT.</t>
  </si>
  <si>
    <t>LIMPIA PISO DE 4,5 LT.</t>
  </si>
  <si>
    <t xml:space="preserve">VIANDADA </t>
  </si>
  <si>
    <t>VIANDADA BRASILERA</t>
  </si>
  <si>
    <t>GEYTORE</t>
  </si>
  <si>
    <t xml:space="preserve">BARLA TALCO </t>
  </si>
  <si>
    <t>MANTECA GORDITO</t>
  </si>
  <si>
    <t>MANTECA MAESTRO PANADERO</t>
  </si>
  <si>
    <t xml:space="preserve">DUCALES </t>
  </si>
  <si>
    <t xml:space="preserve">RON ABUELO 900 ML. </t>
  </si>
  <si>
    <t>NESCAFE G</t>
  </si>
  <si>
    <t>NESCAFE M</t>
  </si>
  <si>
    <t>NESCAFE SALCHETS</t>
  </si>
  <si>
    <t>440/430</t>
  </si>
  <si>
    <t>ALCOHOL 1 TL.</t>
  </si>
  <si>
    <t>ALCOHOL 1/2</t>
  </si>
  <si>
    <t>120/119</t>
  </si>
  <si>
    <t>COCOLIKE 400G</t>
  </si>
  <si>
    <t>DETERGENTE UNO DE 800 G.</t>
  </si>
  <si>
    <t>PINTA BOCA</t>
  </si>
  <si>
    <t>CHUPETES</t>
  </si>
  <si>
    <t>MAICENA AGRANEL</t>
  </si>
  <si>
    <t>ALMIDON AGRANEL</t>
  </si>
  <si>
    <t>CELINDA BARRA G</t>
  </si>
  <si>
    <t>FOUR LOKO</t>
  </si>
  <si>
    <t>FOUR LOKO G</t>
  </si>
  <si>
    <t>FOUR LOKO P</t>
  </si>
  <si>
    <t xml:space="preserve">BALLERINA SALCHETS </t>
  </si>
  <si>
    <t xml:space="preserve">LLERINA </t>
  </si>
  <si>
    <t>ALCOHOL 180 ML</t>
  </si>
  <si>
    <t>SINGANI GRANADA P</t>
  </si>
  <si>
    <t>SINGANI GRANADA G</t>
  </si>
  <si>
    <t>ALCOHOL 80 ML</t>
  </si>
  <si>
    <t>CEIBO</t>
  </si>
  <si>
    <t>RED LABEL</t>
  </si>
  <si>
    <t>BLACK LABEL</t>
  </si>
  <si>
    <t>GRANTS</t>
  </si>
  <si>
    <t xml:space="preserve">BALLANTINES </t>
  </si>
  <si>
    <t>CHIVAS LEGAL</t>
  </si>
  <si>
    <t xml:space="preserve">PRESIDENTE </t>
  </si>
  <si>
    <t>BRANCA</t>
  </si>
  <si>
    <t>BRANCA G</t>
  </si>
  <si>
    <t>HLD PARR</t>
  </si>
  <si>
    <t>BACARDI MOJITO</t>
  </si>
  <si>
    <t>COHLBERS OPORTO LILA</t>
  </si>
  <si>
    <t>CAMPOS DE SOLANA OPORTO ROJO</t>
  </si>
  <si>
    <t>TRES PLUMAS P</t>
  </si>
  <si>
    <t>90/80</t>
  </si>
  <si>
    <t>TRES PLUMAS G</t>
  </si>
  <si>
    <t>DOBLE V P</t>
  </si>
  <si>
    <t xml:space="preserve">AMARULA </t>
  </si>
  <si>
    <t>MARULA BID</t>
  </si>
  <si>
    <t>RON ABUELO 1,5 LT.</t>
  </si>
  <si>
    <t xml:space="preserve">RON CALDAS </t>
  </si>
  <si>
    <t>PACIFIC</t>
  </si>
  <si>
    <t>MASTER VERDE</t>
  </si>
  <si>
    <t>DERBY</t>
  </si>
  <si>
    <t>FELINA</t>
  </si>
  <si>
    <t>POWER G</t>
  </si>
  <si>
    <t>62/6</t>
  </si>
  <si>
    <t>POWER P</t>
  </si>
  <si>
    <t>REACTOR</t>
  </si>
  <si>
    <t>BLACK</t>
  </si>
  <si>
    <t>REACTOR G</t>
  </si>
  <si>
    <t>COCACOLA LATA G</t>
  </si>
  <si>
    <t>COCACOLA LATA P</t>
  </si>
  <si>
    <t xml:space="preserve">GUARANA LATA </t>
  </si>
  <si>
    <t xml:space="preserve">ENCEDEDOR TOKIO </t>
  </si>
  <si>
    <t>SUPER ACIDO</t>
  </si>
  <si>
    <t>A GOGO LIQUIDO</t>
  </si>
  <si>
    <t xml:space="preserve">CASSY </t>
  </si>
  <si>
    <t>NUCITA</t>
  </si>
  <si>
    <t>VIZZIO</t>
  </si>
  <si>
    <t xml:space="preserve">PAPELIÑO </t>
  </si>
  <si>
    <t>CRASH WAFER</t>
  </si>
  <si>
    <t xml:space="preserve">WAFER DORITA </t>
  </si>
  <si>
    <t>GAROTO</t>
  </si>
  <si>
    <t>MOMENTO</t>
  </si>
  <si>
    <t>BUTTER</t>
  </si>
  <si>
    <t>MARIA DORIS</t>
  </si>
  <si>
    <t>GALLETA ABUELA</t>
  </si>
  <si>
    <t>GALLETA DE KILO</t>
  </si>
  <si>
    <t>GALLETA 200 G</t>
  </si>
  <si>
    <t>PAPA LAYS</t>
  </si>
  <si>
    <t xml:space="preserve">DORITOS </t>
  </si>
  <si>
    <t>PAPA LAYS TIRA</t>
  </si>
  <si>
    <t xml:space="preserve">DORITOS TIRA </t>
  </si>
  <si>
    <t>PIKESOS SNAK</t>
  </si>
  <si>
    <t>PICKESOS DR</t>
  </si>
  <si>
    <t>NACHOS</t>
  </si>
  <si>
    <t>CHUBIS G.</t>
  </si>
  <si>
    <t>9/100</t>
  </si>
  <si>
    <t>MANU</t>
  </si>
  <si>
    <t>PAPA PRINGLES</t>
  </si>
  <si>
    <t>MAGMELOW</t>
  </si>
  <si>
    <t>LAVAJILLAS G</t>
  </si>
  <si>
    <t>LAVAJILLAS P</t>
  </si>
  <si>
    <t>YOGUT 1 LT.</t>
  </si>
  <si>
    <t>DETERGENTE BEA P</t>
  </si>
  <si>
    <t>LIZ</t>
  </si>
  <si>
    <t>PLUS BELLE</t>
  </si>
  <si>
    <t>DOVE</t>
  </si>
  <si>
    <t>TIO NACHO</t>
  </si>
  <si>
    <t>CLEAR P</t>
  </si>
  <si>
    <t>FIXER G</t>
  </si>
  <si>
    <t>FIXER P</t>
  </si>
  <si>
    <t>FIXER M</t>
  </si>
  <si>
    <t>GEL</t>
  </si>
  <si>
    <t>NOSOTRAS NORMAL</t>
  </si>
  <si>
    <t>NOSOTRAS INVISIBLE</t>
  </si>
  <si>
    <t>NOSTRAS BUENAS NOCHES</t>
  </si>
  <si>
    <t>NOSOTRAS 150 U</t>
  </si>
  <si>
    <t>NOSOTRAS 50 U</t>
  </si>
  <si>
    <t>NOSOTRAS DIARIO</t>
  </si>
  <si>
    <t>COTEX</t>
  </si>
  <si>
    <t>COTEX NEGRO</t>
  </si>
  <si>
    <t>COLGATE G</t>
  </si>
  <si>
    <t>COLGATE M</t>
  </si>
  <si>
    <t>COLGATE P</t>
  </si>
  <si>
    <t>PEPSODENT G</t>
  </si>
  <si>
    <t>PEPSODENT P</t>
  </si>
  <si>
    <t>LIX</t>
  </si>
  <si>
    <t>BABY ÑOÑO ROSADO G Y M</t>
  </si>
  <si>
    <t xml:space="preserve">BABY ÑOÑO ROSADO XG Y XXG </t>
  </si>
  <si>
    <t>PAÑAL MI BEBE P</t>
  </si>
  <si>
    <t>GUSSTOSI</t>
  </si>
  <si>
    <t>SAN GRABIEL</t>
  </si>
  <si>
    <t xml:space="preserve">COLORANTE ROJO </t>
  </si>
  <si>
    <t>MAGGI</t>
  </si>
  <si>
    <t>AJI NO MOTO P</t>
  </si>
  <si>
    <t xml:space="preserve">AJI NO MOTO TIRAS </t>
  </si>
  <si>
    <t>CHAMAIRO</t>
  </si>
  <si>
    <t>ENCEDEDOR TOKIO CLIP</t>
  </si>
  <si>
    <t xml:space="preserve">BOCA RICA </t>
  </si>
  <si>
    <t>LASAÑA LLUCHETTI</t>
  </si>
  <si>
    <t>REYNA DEL PRADO</t>
  </si>
  <si>
    <t>BAYGON VERDE</t>
  </si>
  <si>
    <t>MANJAR G</t>
  </si>
  <si>
    <t>BABY ÑOÑO P</t>
  </si>
  <si>
    <t>NOSOTRAS MATERNIDAD</t>
  </si>
  <si>
    <t xml:space="preserve">MARILAN </t>
  </si>
  <si>
    <t>SIBARITA NEGRITA</t>
  </si>
  <si>
    <t>MAYONESA 1 KG.</t>
  </si>
  <si>
    <t>HUGIIES ROJO M</t>
  </si>
  <si>
    <t>KETCHUP 1 KG.</t>
  </si>
  <si>
    <t>MAGMELOW LARGO</t>
  </si>
  <si>
    <t>LINTERNA RECARGABLE P</t>
  </si>
  <si>
    <t>CAFINI</t>
  </si>
  <si>
    <t>LINTERNA RECARGABLE G</t>
  </si>
  <si>
    <t>REX</t>
  </si>
  <si>
    <t>BADY M</t>
  </si>
  <si>
    <t>AJI MOMEN</t>
  </si>
  <si>
    <t xml:space="preserve">CHI AVENA </t>
  </si>
  <si>
    <t xml:space="preserve">SAL PARRILLERO SALSERITO </t>
  </si>
  <si>
    <t>VICO EN FRASCO</t>
  </si>
  <si>
    <t>70/80</t>
  </si>
  <si>
    <t>GALLETA GUSSTOSI 1/2 KG.</t>
  </si>
  <si>
    <t xml:space="preserve"> </t>
  </si>
  <si>
    <t>{</t>
  </si>
  <si>
    <t xml:space="preserve">ROSQUILLAS </t>
  </si>
  <si>
    <t>MANJAR SALCHETS</t>
  </si>
  <si>
    <t>IBOPROFENO 800 G</t>
  </si>
  <si>
    <t>IBOPROFENO 400 G</t>
  </si>
  <si>
    <t>CELINDA LIQUIDA G.</t>
  </si>
  <si>
    <t>ALCOHOL GEL</t>
  </si>
  <si>
    <t xml:space="preserve">JAVON LIQUIDO </t>
  </si>
  <si>
    <t>AMBIENTADOR SAPOLIO</t>
  </si>
  <si>
    <t>ACEZINO</t>
  </si>
  <si>
    <t>SALSA SOYA M</t>
  </si>
  <si>
    <t>SALSA SOYA P</t>
  </si>
  <si>
    <t xml:space="preserve">CAJAMAR </t>
  </si>
  <si>
    <t>MAYONESA POMO</t>
  </si>
  <si>
    <t xml:space="preserve">KETCHUP Y MOSTAZA POMO </t>
  </si>
  <si>
    <t>MAYONESA 1 KG</t>
  </si>
  <si>
    <t>KETCHUP 1 KG</t>
  </si>
  <si>
    <t>MAYONESA 1/2 KG</t>
  </si>
  <si>
    <t>KETCHUP 1/2 KG</t>
  </si>
  <si>
    <t>MAYONESA 220 G</t>
  </si>
  <si>
    <t>KETCHUP Y MOSTAZA 220 G</t>
  </si>
  <si>
    <t>MANTEQUILLA REGIA</t>
  </si>
  <si>
    <t>AVENA EN CAJA</t>
  </si>
  <si>
    <t>AVENA BOLSA</t>
  </si>
  <si>
    <t xml:space="preserve">COLGATE </t>
  </si>
  <si>
    <t xml:space="preserve">TALCO GRANADA </t>
  </si>
  <si>
    <t xml:space="preserve">GALLETA DE AGUA GUSSTOSI </t>
  </si>
  <si>
    <t>GUARANA DE 1 LT.</t>
  </si>
  <si>
    <t>PEPSI DE 1 LT.</t>
  </si>
  <si>
    <t>PEPSI DE 500 ML.</t>
  </si>
  <si>
    <t>TONKA</t>
  </si>
  <si>
    <t>ACEITUNA P.</t>
  </si>
  <si>
    <t xml:space="preserve">MANTEQUILLA REYNA </t>
  </si>
  <si>
    <t>NIKOLO</t>
  </si>
  <si>
    <t xml:space="preserve">ESPONJA </t>
  </si>
  <si>
    <t>GF</t>
  </si>
  <si>
    <t>SPAGETTI FAMOSA</t>
  </si>
  <si>
    <t>TRULULU P.</t>
  </si>
  <si>
    <t xml:space="preserve">SALCHIHCA EN LATA </t>
  </si>
  <si>
    <t xml:space="preserve">CREMA DE LECHE </t>
  </si>
  <si>
    <t xml:space="preserve">¿´'p067777xc </t>
  </si>
  <si>
    <t>BALCK STONE</t>
  </si>
  <si>
    <t>60/55</t>
  </si>
  <si>
    <t xml:space="preserve">PAÑAL MAMI </t>
  </si>
  <si>
    <t>|</t>
  </si>
  <si>
    <t>ARROZ SUPER</t>
  </si>
  <si>
    <t>ARROZ EKO</t>
  </si>
  <si>
    <t xml:space="preserve">ARROZ ROJO </t>
  </si>
  <si>
    <t>PIPOCA</t>
  </si>
  <si>
    <t>CHISITO</t>
  </si>
  <si>
    <t>PICADILLO</t>
  </si>
  <si>
    <t>TE PARIS</t>
  </si>
  <si>
    <t>COCOA G</t>
  </si>
  <si>
    <t>480/470</t>
  </si>
  <si>
    <t>WIDSOR</t>
  </si>
  <si>
    <t>BONBONBUM</t>
  </si>
  <si>
    <t>DULCEV TOFFY</t>
  </si>
  <si>
    <t xml:space="preserve">LISTA DE PRECIOS ALMACÉN ALEXANDRA </t>
  </si>
  <si>
    <t>ALOE DE 20 U.</t>
  </si>
  <si>
    <t>215/210</t>
  </si>
  <si>
    <t xml:space="preserve">ALOE EN LATA </t>
  </si>
  <si>
    <t>GUSTOSSITO</t>
  </si>
  <si>
    <t xml:space="preserve">CHIP CHOCOLATE </t>
  </si>
  <si>
    <t>F</t>
  </si>
  <si>
    <t>MAIS EN VASO</t>
  </si>
  <si>
    <t>MANJAR 1 KG</t>
  </si>
  <si>
    <t>MANJAR 1/2 KG</t>
  </si>
  <si>
    <t xml:space="preserve">MATE BUEN DIA </t>
  </si>
  <si>
    <t>RED BULL</t>
  </si>
  <si>
    <t xml:space="preserve">HUESITOS </t>
  </si>
  <si>
    <t>BURBUJA P</t>
  </si>
  <si>
    <t>BURBUJA G</t>
  </si>
  <si>
    <t>CELINDA CREMA CHANTILLY</t>
  </si>
  <si>
    <t xml:space="preserve">PRINGLES </t>
  </si>
  <si>
    <t xml:space="preserve">TODO BRILLO </t>
  </si>
  <si>
    <t xml:space="preserve">PAÑAL CONFORT ADULTO </t>
  </si>
  <si>
    <t>GROSSO CAJA</t>
  </si>
  <si>
    <t xml:space="preserve">BATON </t>
  </si>
  <si>
    <t xml:space="preserve">CELINDA BRRA M 200 G </t>
  </si>
  <si>
    <t xml:space="preserve">AMOXILINA </t>
  </si>
  <si>
    <t>CARTUCHO C16</t>
  </si>
  <si>
    <t>ALIKAL</t>
  </si>
  <si>
    <t>10X25</t>
  </si>
  <si>
    <t xml:space="preserve">KORY POLLO </t>
  </si>
  <si>
    <t>SARDINA SABROSA</t>
  </si>
  <si>
    <t>290/280</t>
  </si>
  <si>
    <t>2620/2640</t>
  </si>
  <si>
    <t>PAPEL SCOTT 6EN1</t>
  </si>
  <si>
    <t>CHOCO MANI</t>
  </si>
  <si>
    <t>JAVON BOLIVAR</t>
  </si>
  <si>
    <t xml:space="preserve">VICO YUSPE </t>
  </si>
  <si>
    <t xml:space="preserve">PAÑAL MI BEBE </t>
  </si>
  <si>
    <t xml:space="preserve">TODOS </t>
  </si>
  <si>
    <t>AJINOMEN</t>
  </si>
  <si>
    <t>MANTERREY LATA</t>
  </si>
  <si>
    <t xml:space="preserve">FLOR DE CAÑA G </t>
  </si>
  <si>
    <t>LAVANDINA X-5 1LT.</t>
  </si>
  <si>
    <t>LAVANDINA SAPOLIO 1LT.</t>
  </si>
  <si>
    <t xml:space="preserve">BALA </t>
  </si>
  <si>
    <t>DOCIGOMA</t>
  </si>
  <si>
    <t xml:space="preserve">DULCE PALETA ESTELLA </t>
  </si>
  <si>
    <t>ROYAL 1KG</t>
  </si>
  <si>
    <t>ELITE CLINEX</t>
  </si>
  <si>
    <t xml:space="preserve">MIL SHAKE </t>
  </si>
  <si>
    <t>POLVO DE HONEAR P</t>
  </si>
  <si>
    <t xml:space="preserve">GOTITA EN GEL </t>
  </si>
  <si>
    <t xml:space="preserve">GELATINA </t>
  </si>
  <si>
    <t xml:space="preserve">GALLETA REX </t>
  </si>
  <si>
    <t>KILLER MATA TODO</t>
  </si>
  <si>
    <t xml:space="preserve">MATA TODO BRISTAR </t>
  </si>
  <si>
    <t>X5 1LT.</t>
  </si>
  <si>
    <t>WAFER GUSSTOSI G</t>
  </si>
  <si>
    <t xml:space="preserve">COCOA MILKO </t>
  </si>
  <si>
    <t>CAFÉ COPACABANA P</t>
  </si>
  <si>
    <t>CAFÉ COPACABANA 1KG.</t>
  </si>
  <si>
    <t>CAFÉ COPACABANA 1/2KG.</t>
  </si>
  <si>
    <t>LECHE LIQUIDA 1LT.</t>
  </si>
  <si>
    <t>BOOGLE CHICLE</t>
  </si>
  <si>
    <t xml:space="preserve">CIGARRO  PINE </t>
  </si>
  <si>
    <t xml:space="preserve">PASPELIÑO </t>
  </si>
  <si>
    <t xml:space="preserve">MANTEQUILLA BALDE </t>
  </si>
  <si>
    <t xml:space="preserve">CELINDA EN CHUBIS </t>
  </si>
  <si>
    <t>180/170</t>
  </si>
  <si>
    <t>ESTRACTO DE TOMATE VASO</t>
  </si>
  <si>
    <t>NICON</t>
  </si>
  <si>
    <t xml:space="preserve">ROYAL P </t>
  </si>
  <si>
    <t>ROYAL G</t>
  </si>
  <si>
    <t xml:space="preserve">OLA </t>
  </si>
  <si>
    <t>MISIFUZ</t>
  </si>
  <si>
    <t>CHAMPIÑOS PEQUÑO</t>
  </si>
  <si>
    <t xml:space="preserve">VEIMAR (BELDENT Y ALIKAL) </t>
  </si>
  <si>
    <t>MANTEQUILLA REYNA VASO</t>
  </si>
  <si>
    <t>REGIA VASO</t>
  </si>
  <si>
    <t>260/265</t>
  </si>
  <si>
    <t>LEVADURA PEQUEÑA</t>
  </si>
  <si>
    <t>LEVADURA G</t>
  </si>
  <si>
    <t>LEVADURA 1KG.</t>
  </si>
  <si>
    <t>MAYONESA 2900 G</t>
  </si>
  <si>
    <t>KETCHUP Y MOSTAZA 2900 G</t>
  </si>
  <si>
    <t>CELINDA LIQUIDA M.</t>
  </si>
  <si>
    <t>SALSA SOYA CHAUEI G</t>
  </si>
  <si>
    <t>BAYGON BRISTAR</t>
  </si>
  <si>
    <t>BAYGON MATA TODO</t>
  </si>
  <si>
    <t>DUCALES P</t>
  </si>
  <si>
    <t>465/460</t>
  </si>
  <si>
    <t>300/295</t>
  </si>
  <si>
    <t xml:space="preserve">GELATINA KRIS </t>
  </si>
  <si>
    <t>PELUSA XXG</t>
  </si>
  <si>
    <t>MOGUL</t>
  </si>
  <si>
    <t>HUESITOS</t>
  </si>
  <si>
    <t>GELATINA SIN SABOR</t>
  </si>
  <si>
    <t>BACON PICANTE</t>
  </si>
  <si>
    <t>LIMPIA PISO SAPOLIO o BRISTAR 5 LT</t>
  </si>
  <si>
    <t>BRISTAR</t>
  </si>
  <si>
    <t xml:space="preserve">PLASTICICO </t>
  </si>
  <si>
    <t>L &amp; M DOBLE</t>
  </si>
  <si>
    <t>PAPAS EN TIRA DON PAPAS</t>
  </si>
  <si>
    <t>ZAUCAR IPANPABLE 1KG</t>
  </si>
  <si>
    <t xml:space="preserve">BOMBRIL ALAMBRE </t>
  </si>
  <si>
    <t>JACK DANIELS</t>
  </si>
  <si>
    <t>TURRON</t>
  </si>
  <si>
    <t>AZUCAR MORENA</t>
  </si>
  <si>
    <t xml:space="preserve">MARIA BONITA </t>
  </si>
  <si>
    <t>DIGESTAN</t>
  </si>
  <si>
    <t xml:space="preserve">GOMA DE MASCAR </t>
  </si>
  <si>
    <t xml:space="preserve">ESENCIA DE PICOLE </t>
  </si>
  <si>
    <t>NECTAR</t>
  </si>
  <si>
    <t>ACEITE OLIVO LATA</t>
  </si>
  <si>
    <t>CHOCLO EN VASO</t>
  </si>
  <si>
    <t>40/80</t>
  </si>
  <si>
    <t>180/175</t>
  </si>
  <si>
    <t>85/88</t>
  </si>
  <si>
    <t>COETILLO</t>
  </si>
  <si>
    <t xml:space="preserve">VAJILLA EN BARRA </t>
  </si>
  <si>
    <t>JAVON</t>
  </si>
  <si>
    <t xml:space="preserve">BOLIVAR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</si>
</sst>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MS Reference Sans Serif"/>
      <family val="2"/>
    </font>
    <font>
      <b/>
      <sz val="11"/>
      <color theme="1"/>
      <name val="MS Reference Sans Serif"/>
      <family val="2"/>
    </font>
    <font>
      <sz val="9"/>
      <color theme="1"/>
      <name val="MS Reference Sans Serif"/>
      <family val="2"/>
    </font>
    <font>
      <b/>
      <sz val="9"/>
      <color theme="1"/>
      <name val="MS Reference Sans Serif"/>
      <family val="2"/>
    </font>
    <font>
      <b/>
      <i/>
      <sz val="14"/>
      <color theme="0"/>
      <name val="Verdana"/>
      <family val="2"/>
    </font>
    <font>
      <b/>
      <sz val="16"/>
      <color theme="1"/>
      <name val="MS Reference Sans Serif"/>
      <family val="2"/>
    </font>
    <font>
      <sz val="8"/>
      <name val="Calibri"/>
      <family val="2"/>
      <scheme val="minor"/>
    </font>
    <font>
      <sz val="10"/>
      <color theme="1"/>
      <name val="MS Reference Sans Serif"/>
      <family val="2"/>
    </font>
    <font>
      <b/>
      <i/>
      <sz val="14"/>
      <color theme="0"/>
      <name val="MS Reference Sans Serif"/>
      <family val="2"/>
    </font>
  </fonts>
  <fills count="5">
    <fill>
      <patternFill patternType="none"/>
    </fill>
    <fill>
      <patternFill patternType="gray125"/>
    </fill>
    <fill>
      <patternFill patternType="solid">
        <fgColor rgb="FFFF6600"/>
        <bgColor indexed="64"/>
      </patternFill>
    </fill>
    <fill>
      <patternFill patternType="solid">
        <fgColor rgb="FFFF6743"/>
        <bgColor indexed="64"/>
      </patternFill>
    </fill>
    <fill>
      <patternFill patternType="lightUp">
        <bgColor rgb="FFFF6600"/>
      </patternFill>
    </fill>
  </fills>
  <borders count="33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slantDashDot">
        <color indexed="64"/>
      </left>
      <right style="slantDashDot">
        <color indexed="64"/>
      </right>
      <top style="slantDashDot">
        <color indexed="64"/>
      </top>
      <bottom style="thin">
        <color indexed="64"/>
      </bottom>
      <diagonal/>
    </border>
    <border>
      <left style="slantDashDot">
        <color indexed="64"/>
      </left>
      <right style="slantDashDot">
        <color indexed="64"/>
      </right>
      <top style="thin">
        <color indexed="64"/>
      </top>
      <bottom style="thin">
        <color indexed="64"/>
      </bottom>
      <diagonal/>
    </border>
    <border>
      <left style="slantDashDot">
        <color indexed="64"/>
      </left>
      <right style="slantDashDot">
        <color indexed="64"/>
      </right>
      <top style="thin">
        <color indexed="64"/>
      </top>
      <bottom style="slantDashDot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slantDashDot">
        <color indexed="64"/>
      </left>
      <right style="slantDashDot">
        <color indexed="64"/>
      </right>
      <top style="slantDashDot">
        <color indexed="64"/>
      </top>
      <bottom/>
      <diagonal/>
    </border>
    <border>
      <left style="slantDashDot">
        <color indexed="64"/>
      </left>
      <right style="slantDashDot">
        <color indexed="64"/>
      </right>
      <top/>
      <bottom/>
      <diagonal/>
    </border>
    <border>
      <left style="slantDashDot">
        <color indexed="64"/>
      </left>
      <right style="slantDashDot">
        <color indexed="64"/>
      </right>
      <top/>
      <bottom style="slantDashDot">
        <color indexed="64"/>
      </bottom>
      <diagonal/>
    </border>
    <border>
      <left/>
      <right style="slantDashDot">
        <color indexed="64"/>
      </right>
      <top style="thin">
        <color indexed="64"/>
      </top>
      <bottom/>
      <diagonal/>
    </border>
    <border>
      <left/>
      <right style="slantDashDot">
        <color indexed="64"/>
      </right>
      <top/>
      <bottom/>
      <diagonal/>
    </border>
  </borders>
  <cellStyleXfs count="1">
    <xf numFmtId="0" fontId="0" fillId="0" borderId="0"/>
  </cellStyleXfs>
  <cellXfs count="6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 wrapText="1"/>
    </xf>
    <xf numFmtId="0" fontId="1" fillId="3" borderId="0" xfId="0" applyFont="1" applyFill="1" applyAlignment="1">
      <alignment horizontal="center"/>
    </xf>
    <xf numFmtId="0" fontId="1" fillId="0" borderId="2" xfId="0" applyFont="1" applyBorder="1"/>
    <xf numFmtId="0" fontId="1" fillId="0" borderId="2" xfId="0" applyFont="1" applyBorder="1" applyAlignment="1">
      <alignment horizontal="center"/>
    </xf>
    <xf numFmtId="0" fontId="0" fillId="0" borderId="2" xfId="0" applyBorder="1"/>
    <xf numFmtId="0" fontId="0" fillId="3" borderId="5" xfId="0" applyFill="1" applyBorder="1"/>
    <xf numFmtId="0" fontId="0" fillId="3" borderId="11" xfId="0" applyFill="1" applyBorder="1" applyAlignment="1">
      <alignment horizontal="center"/>
    </xf>
    <xf numFmtId="0" fontId="1" fillId="0" borderId="7" xfId="0" applyFont="1" applyBorder="1"/>
    <xf numFmtId="0" fontId="1" fillId="3" borderId="11" xfId="0" applyFont="1" applyFill="1" applyBorder="1" applyAlignment="1">
      <alignment horizontal="left"/>
    </xf>
    <xf numFmtId="0" fontId="4" fillId="3" borderId="11" xfId="0" applyFont="1" applyFill="1" applyBorder="1" applyAlignment="1">
      <alignment horizontal="center"/>
    </xf>
    <xf numFmtId="0" fontId="2" fillId="2" borderId="12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/>
    </xf>
    <xf numFmtId="0" fontId="2" fillId="2" borderId="14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2" fillId="2" borderId="20" xfId="0" applyFont="1" applyFill="1" applyBorder="1" applyAlignment="1">
      <alignment horizontal="center" vertical="center" wrapText="1"/>
    </xf>
    <xf numFmtId="0" fontId="8" fillId="0" borderId="19" xfId="0" applyFont="1" applyBorder="1"/>
    <xf numFmtId="17" fontId="8" fillId="0" borderId="19" xfId="0" applyNumberFormat="1" applyFont="1" applyBorder="1"/>
    <xf numFmtId="0" fontId="8" fillId="0" borderId="2" xfId="0" applyFont="1" applyBorder="1"/>
    <xf numFmtId="0" fontId="1" fillId="3" borderId="5" xfId="0" applyFont="1" applyFill="1" applyBorder="1"/>
    <xf numFmtId="0" fontId="1" fillId="3" borderId="11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3" fillId="0" borderId="2" xfId="0" applyFont="1" applyBorder="1"/>
    <xf numFmtId="0" fontId="3" fillId="0" borderId="0" xfId="0" applyFont="1"/>
    <xf numFmtId="0" fontId="3" fillId="0" borderId="2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0" xfId="0" applyFont="1"/>
    <xf numFmtId="0" fontId="8" fillId="0" borderId="7" xfId="0" applyFont="1" applyBorder="1" applyAlignment="1">
      <alignment horizontal="center"/>
    </xf>
    <xf numFmtId="0" fontId="8" fillId="0" borderId="7" xfId="0" applyFont="1" applyBorder="1"/>
    <xf numFmtId="0" fontId="8" fillId="0" borderId="18" xfId="0" applyFont="1" applyBorder="1"/>
    <xf numFmtId="0" fontId="0" fillId="0" borderId="0" xfId="0" applyAlignment="1">
      <alignment horizontal="left"/>
    </xf>
    <xf numFmtId="0" fontId="0" fillId="0" borderId="2" xfId="0" applyBorder="1" applyAlignment="1">
      <alignment horizontal="left"/>
    </xf>
    <xf numFmtId="0" fontId="3" fillId="0" borderId="0" xfId="0" applyFont="1" applyAlignment="1">
      <alignment horizontal="center"/>
    </xf>
    <xf numFmtId="0" fontId="6" fillId="3" borderId="3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6" fillId="3" borderId="3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6" fillId="3" borderId="32" xfId="0" applyFont="1" applyFill="1" applyBorder="1" applyAlignment="1">
      <alignment horizontal="center" vertical="center"/>
    </xf>
    <xf numFmtId="0" fontId="1" fillId="3" borderId="28" xfId="0" applyFont="1" applyFill="1" applyBorder="1" applyAlignment="1">
      <alignment horizontal="center"/>
    </xf>
    <xf numFmtId="0" fontId="1" fillId="3" borderId="29" xfId="0" applyFont="1" applyFill="1" applyBorder="1" applyAlignment="1">
      <alignment horizontal="center"/>
    </xf>
    <xf numFmtId="0" fontId="1" fillId="3" borderId="30" xfId="0" applyFont="1" applyFill="1" applyBorder="1" applyAlignment="1">
      <alignment horizontal="center"/>
    </xf>
    <xf numFmtId="0" fontId="5" fillId="4" borderId="25" xfId="0" applyFont="1" applyFill="1" applyBorder="1" applyAlignment="1">
      <alignment horizontal="center" vertical="center"/>
    </xf>
    <xf numFmtId="0" fontId="5" fillId="4" borderId="26" xfId="0" applyFont="1" applyFill="1" applyBorder="1" applyAlignment="1">
      <alignment horizontal="center" vertical="center"/>
    </xf>
    <xf numFmtId="0" fontId="5" fillId="4" borderId="27" xfId="0" applyFont="1" applyFill="1" applyBorder="1" applyAlignment="1">
      <alignment horizontal="center" vertical="center"/>
    </xf>
    <xf numFmtId="0" fontId="2" fillId="3" borderId="24" xfId="0" applyFont="1" applyFill="1" applyBorder="1" applyAlignment="1">
      <alignment horizontal="left"/>
    </xf>
    <xf numFmtId="0" fontId="2" fillId="3" borderId="21" xfId="0" applyFont="1" applyFill="1" applyBorder="1" applyAlignment="1">
      <alignment horizontal="left"/>
    </xf>
    <xf numFmtId="0" fontId="2" fillId="3" borderId="22" xfId="0" applyFont="1" applyFill="1" applyBorder="1" applyAlignment="1">
      <alignment horizontal="left"/>
    </xf>
    <xf numFmtId="0" fontId="2" fillId="3" borderId="23" xfId="0" applyFont="1" applyFill="1" applyBorder="1" applyAlignment="1">
      <alignment horizontal="left"/>
    </xf>
    <xf numFmtId="0" fontId="1" fillId="3" borderId="15" xfId="0" applyFont="1" applyFill="1" applyBorder="1" applyAlignment="1">
      <alignment horizontal="center"/>
    </xf>
    <xf numFmtId="0" fontId="1" fillId="3" borderId="16" xfId="0" applyFont="1" applyFill="1" applyBorder="1" applyAlignment="1">
      <alignment horizontal="center"/>
    </xf>
    <xf numFmtId="0" fontId="1" fillId="3" borderId="17" xfId="0" applyFont="1" applyFill="1" applyBorder="1" applyAlignment="1">
      <alignment horizontal="center"/>
    </xf>
    <xf numFmtId="0" fontId="9" fillId="4" borderId="8" xfId="0" applyFont="1" applyFill="1" applyBorder="1" applyAlignment="1">
      <alignment horizontal="center" vertical="center"/>
    </xf>
    <xf numFmtId="0" fontId="9" fillId="4" borderId="9" xfId="0" applyFont="1" applyFill="1" applyBorder="1" applyAlignment="1">
      <alignment horizontal="center" vertical="center"/>
    </xf>
    <xf numFmtId="0" fontId="9" fillId="4" borderId="10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left"/>
    </xf>
    <xf numFmtId="0" fontId="2" fillId="3" borderId="11" xfId="0" applyFont="1" applyFill="1" applyBorder="1" applyAlignment="1">
      <alignment horizontal="left"/>
    </xf>
    <xf numFmtId="0" fontId="6" fillId="3" borderId="6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5" fillId="4" borderId="8" xfId="0" applyFont="1" applyFill="1" applyBorder="1" applyAlignment="1">
      <alignment horizontal="center" vertical="center"/>
    </xf>
    <xf numFmtId="0" fontId="5" fillId="4" borderId="9" xfId="0" applyFont="1" applyFill="1" applyBorder="1" applyAlignment="1">
      <alignment horizontal="center" vertical="center"/>
    </xf>
    <xf numFmtId="0" fontId="5" fillId="4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00"/>
      <color rgb="FFD6902A"/>
      <color rgb="FFFF3300"/>
      <color rgb="FFFF6743"/>
      <color rgb="FFCC6600"/>
      <color rgb="FFFF9933"/>
      <color rgb="FFDE772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microsoft.com/office/2006/relationships/vbaProject" Target="vbaProject.bin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64378</xdr:colOff>
      <xdr:row>0</xdr:row>
      <xdr:rowOff>43296</xdr:rowOff>
    </xdr:from>
    <xdr:to>
      <xdr:col>6</xdr:col>
      <xdr:colOff>1654639</xdr:colOff>
      <xdr:row>4</xdr:row>
      <xdr:rowOff>138336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556" t="17556" r="17260" b="17088"/>
        <a:stretch/>
      </xdr:blipFill>
      <xdr:spPr>
        <a:xfrm>
          <a:off x="5493628" y="43296"/>
          <a:ext cx="1590261" cy="1209465"/>
        </a:xfrm>
        <a:prstGeom prst="rect">
          <a:avLst/>
        </a:prstGeom>
      </xdr:spPr>
    </xdr:pic>
    <xdr:clientData/>
  </xdr:twoCellAnchor>
  <xdr:twoCellAnchor>
    <xdr:from>
      <xdr:col>6</xdr:col>
      <xdr:colOff>64378</xdr:colOff>
      <xdr:row>0</xdr:row>
      <xdr:rowOff>43296</xdr:rowOff>
    </xdr:from>
    <xdr:to>
      <xdr:col>6</xdr:col>
      <xdr:colOff>1654639</xdr:colOff>
      <xdr:row>4</xdr:row>
      <xdr:rowOff>138336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556" t="17556" r="17260" b="17088"/>
        <a:stretch/>
      </xdr:blipFill>
      <xdr:spPr>
        <a:xfrm>
          <a:off x="5493628" y="43296"/>
          <a:ext cx="1590261" cy="1228515"/>
        </a:xfrm>
        <a:prstGeom prst="rect">
          <a:avLst/>
        </a:prstGeom>
      </xdr:spPr>
    </xdr:pic>
    <xdr:clientData/>
  </xdr:twoCellAnchor>
  <xdr:twoCellAnchor>
    <xdr:from>
      <xdr:col>6</xdr:col>
      <xdr:colOff>64378</xdr:colOff>
      <xdr:row>0</xdr:row>
      <xdr:rowOff>43296</xdr:rowOff>
    </xdr:from>
    <xdr:to>
      <xdr:col>6</xdr:col>
      <xdr:colOff>1654639</xdr:colOff>
      <xdr:row>4</xdr:row>
      <xdr:rowOff>138336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556" t="17556" r="17260" b="17088"/>
        <a:stretch/>
      </xdr:blipFill>
      <xdr:spPr>
        <a:xfrm>
          <a:off x="5493628" y="43296"/>
          <a:ext cx="1590261" cy="1228515"/>
        </a:xfrm>
        <a:prstGeom prst="rect">
          <a:avLst/>
        </a:prstGeom>
      </xdr:spPr>
    </xdr:pic>
    <xdr:clientData/>
  </xdr:twoCellAnchor>
  <xdr:twoCellAnchor>
    <xdr:from>
      <xdr:col>6</xdr:col>
      <xdr:colOff>45328</xdr:colOff>
      <xdr:row>0</xdr:row>
      <xdr:rowOff>68696</xdr:rowOff>
    </xdr:from>
    <xdr:to>
      <xdr:col>6</xdr:col>
      <xdr:colOff>1635589</xdr:colOff>
      <xdr:row>4</xdr:row>
      <xdr:rowOff>163736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556" t="17556" r="17260" b="17088"/>
        <a:stretch/>
      </xdr:blipFill>
      <xdr:spPr>
        <a:xfrm>
          <a:off x="5474578" y="68696"/>
          <a:ext cx="1590261" cy="1228515"/>
        </a:xfrm>
        <a:prstGeom prst="rect">
          <a:avLst/>
        </a:prstGeom>
      </xdr:spPr>
    </xdr:pic>
    <xdr:clientData/>
  </xdr:twoCellAnchor>
  <xdr:twoCellAnchor>
    <xdr:from>
      <xdr:col>6</xdr:col>
      <xdr:colOff>45328</xdr:colOff>
      <xdr:row>0</xdr:row>
      <xdr:rowOff>68696</xdr:rowOff>
    </xdr:from>
    <xdr:to>
      <xdr:col>6</xdr:col>
      <xdr:colOff>1635589</xdr:colOff>
      <xdr:row>4</xdr:row>
      <xdr:rowOff>163736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556" t="17556" r="17260" b="17088"/>
        <a:stretch/>
      </xdr:blipFill>
      <xdr:spPr>
        <a:xfrm>
          <a:off x="5474578" y="68696"/>
          <a:ext cx="1590261" cy="12285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64378</xdr:colOff>
      <xdr:row>0</xdr:row>
      <xdr:rowOff>43296</xdr:rowOff>
    </xdr:from>
    <xdr:to>
      <xdr:col>6</xdr:col>
      <xdr:colOff>1654639</xdr:colOff>
      <xdr:row>4</xdr:row>
      <xdr:rowOff>138336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556" t="17556" r="17260" b="17088"/>
        <a:stretch/>
      </xdr:blipFill>
      <xdr:spPr>
        <a:xfrm>
          <a:off x="5903203" y="43296"/>
          <a:ext cx="1590261" cy="1361865"/>
        </a:xfrm>
        <a:prstGeom prst="rect">
          <a:avLst/>
        </a:prstGeom>
      </xdr:spPr>
    </xdr:pic>
    <xdr:clientData/>
  </xdr:twoCellAnchor>
  <xdr:twoCellAnchor>
    <xdr:from>
      <xdr:col>6</xdr:col>
      <xdr:colOff>64378</xdr:colOff>
      <xdr:row>0</xdr:row>
      <xdr:rowOff>43296</xdr:rowOff>
    </xdr:from>
    <xdr:to>
      <xdr:col>6</xdr:col>
      <xdr:colOff>1654639</xdr:colOff>
      <xdr:row>4</xdr:row>
      <xdr:rowOff>138336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556" t="17556" r="17260" b="17088"/>
        <a:stretch/>
      </xdr:blipFill>
      <xdr:spPr>
        <a:xfrm>
          <a:off x="5903203" y="43296"/>
          <a:ext cx="1590261" cy="1361865"/>
        </a:xfrm>
        <a:prstGeom prst="rect">
          <a:avLst/>
        </a:prstGeom>
      </xdr:spPr>
    </xdr:pic>
    <xdr:clientData/>
  </xdr:twoCellAnchor>
  <xdr:twoCellAnchor>
    <xdr:from>
      <xdr:col>6</xdr:col>
      <xdr:colOff>45328</xdr:colOff>
      <xdr:row>0</xdr:row>
      <xdr:rowOff>68696</xdr:rowOff>
    </xdr:from>
    <xdr:to>
      <xdr:col>6</xdr:col>
      <xdr:colOff>1635589</xdr:colOff>
      <xdr:row>4</xdr:row>
      <xdr:rowOff>163736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556" t="17556" r="17260" b="17088"/>
        <a:stretch/>
      </xdr:blipFill>
      <xdr:spPr>
        <a:xfrm>
          <a:off x="5884153" y="68696"/>
          <a:ext cx="1590261" cy="1371390"/>
        </a:xfrm>
        <a:prstGeom prst="rect">
          <a:avLst/>
        </a:prstGeom>
      </xdr:spPr>
    </xdr:pic>
    <xdr:clientData/>
  </xdr:twoCellAnchor>
  <xdr:twoCellAnchor>
    <xdr:from>
      <xdr:col>6</xdr:col>
      <xdr:colOff>45328</xdr:colOff>
      <xdr:row>0</xdr:row>
      <xdr:rowOff>68696</xdr:rowOff>
    </xdr:from>
    <xdr:to>
      <xdr:col>6</xdr:col>
      <xdr:colOff>1635589</xdr:colOff>
      <xdr:row>4</xdr:row>
      <xdr:rowOff>163736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556" t="17556" r="17260" b="17088"/>
        <a:stretch/>
      </xdr:blipFill>
      <xdr:spPr>
        <a:xfrm>
          <a:off x="5884153" y="68696"/>
          <a:ext cx="1590261" cy="137139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45328</xdr:colOff>
      <xdr:row>0</xdr:row>
      <xdr:rowOff>68696</xdr:rowOff>
    </xdr:from>
    <xdr:to>
      <xdr:col>6</xdr:col>
      <xdr:colOff>1635589</xdr:colOff>
      <xdr:row>4</xdr:row>
      <xdr:rowOff>163736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556" t="17556" r="17260" b="17088"/>
        <a:stretch/>
      </xdr:blipFill>
      <xdr:spPr>
        <a:xfrm>
          <a:off x="5887328" y="68696"/>
          <a:ext cx="1590261" cy="1377740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9525</xdr:colOff>
          <xdr:row>2</xdr:row>
          <xdr:rowOff>0</xdr:rowOff>
        </xdr:from>
        <xdr:to>
          <xdr:col>5</xdr:col>
          <xdr:colOff>923925</xdr:colOff>
          <xdr:row>3</xdr:row>
          <xdr:rowOff>9525</xdr:rowOff>
        </xdr:to>
        <xdr:sp macro="" textlink="">
          <xdr:nvSpPr>
            <xdr:cNvPr id="1026" name="TextBox1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2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64378</xdr:colOff>
      <xdr:row>0</xdr:row>
      <xdr:rowOff>43296</xdr:rowOff>
    </xdr:from>
    <xdr:to>
      <xdr:col>6</xdr:col>
      <xdr:colOff>1654639</xdr:colOff>
      <xdr:row>4</xdr:row>
      <xdr:rowOff>138336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556" t="17556" r="17260" b="17088"/>
        <a:stretch/>
      </xdr:blipFill>
      <xdr:spPr>
        <a:xfrm>
          <a:off x="5493628" y="43296"/>
          <a:ext cx="1590261" cy="1209465"/>
        </a:xfrm>
        <a:prstGeom prst="rect">
          <a:avLst/>
        </a:prstGeom>
      </xdr:spPr>
    </xdr:pic>
    <xdr:clientData/>
  </xdr:twoCellAnchor>
  <xdr:twoCellAnchor>
    <xdr:from>
      <xdr:col>6</xdr:col>
      <xdr:colOff>64378</xdr:colOff>
      <xdr:row>0</xdr:row>
      <xdr:rowOff>43296</xdr:rowOff>
    </xdr:from>
    <xdr:to>
      <xdr:col>6</xdr:col>
      <xdr:colOff>1654639</xdr:colOff>
      <xdr:row>4</xdr:row>
      <xdr:rowOff>138336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556" t="17556" r="17260" b="17088"/>
        <a:stretch/>
      </xdr:blipFill>
      <xdr:spPr>
        <a:xfrm>
          <a:off x="5493628" y="43296"/>
          <a:ext cx="1590261" cy="1228515"/>
        </a:xfrm>
        <a:prstGeom prst="rect">
          <a:avLst/>
        </a:prstGeom>
      </xdr:spPr>
    </xdr:pic>
    <xdr:clientData/>
  </xdr:twoCellAnchor>
  <xdr:twoCellAnchor>
    <xdr:from>
      <xdr:col>6</xdr:col>
      <xdr:colOff>64378</xdr:colOff>
      <xdr:row>0</xdr:row>
      <xdr:rowOff>43296</xdr:rowOff>
    </xdr:from>
    <xdr:to>
      <xdr:col>6</xdr:col>
      <xdr:colOff>1654639</xdr:colOff>
      <xdr:row>4</xdr:row>
      <xdr:rowOff>138336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556" t="17556" r="17260" b="17088"/>
        <a:stretch/>
      </xdr:blipFill>
      <xdr:spPr>
        <a:xfrm>
          <a:off x="5493628" y="43296"/>
          <a:ext cx="1590261" cy="1228515"/>
        </a:xfrm>
        <a:prstGeom prst="rect">
          <a:avLst/>
        </a:prstGeom>
      </xdr:spPr>
    </xdr:pic>
    <xdr:clientData/>
  </xdr:twoCellAnchor>
  <xdr:twoCellAnchor>
    <xdr:from>
      <xdr:col>6</xdr:col>
      <xdr:colOff>45328</xdr:colOff>
      <xdr:row>0</xdr:row>
      <xdr:rowOff>68696</xdr:rowOff>
    </xdr:from>
    <xdr:to>
      <xdr:col>6</xdr:col>
      <xdr:colOff>1635589</xdr:colOff>
      <xdr:row>4</xdr:row>
      <xdr:rowOff>163736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556" t="17556" r="17260" b="17088"/>
        <a:stretch/>
      </xdr:blipFill>
      <xdr:spPr>
        <a:xfrm>
          <a:off x="5474578" y="68696"/>
          <a:ext cx="1590261" cy="1228515"/>
        </a:xfrm>
        <a:prstGeom prst="rect">
          <a:avLst/>
        </a:prstGeom>
      </xdr:spPr>
    </xdr:pic>
    <xdr:clientData/>
  </xdr:twoCellAnchor>
  <xdr:twoCellAnchor>
    <xdr:from>
      <xdr:col>6</xdr:col>
      <xdr:colOff>45328</xdr:colOff>
      <xdr:row>0</xdr:row>
      <xdr:rowOff>68696</xdr:rowOff>
    </xdr:from>
    <xdr:to>
      <xdr:col>6</xdr:col>
      <xdr:colOff>1635589</xdr:colOff>
      <xdr:row>4</xdr:row>
      <xdr:rowOff>163736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556" t="17556" r="17260" b="17088"/>
        <a:stretch/>
      </xdr:blipFill>
      <xdr:spPr>
        <a:xfrm>
          <a:off x="5474578" y="68696"/>
          <a:ext cx="1590261" cy="122851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64378</xdr:colOff>
      <xdr:row>0</xdr:row>
      <xdr:rowOff>43296</xdr:rowOff>
    </xdr:from>
    <xdr:to>
      <xdr:col>6</xdr:col>
      <xdr:colOff>1654639</xdr:colOff>
      <xdr:row>4</xdr:row>
      <xdr:rowOff>138336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556" t="17556" r="17260" b="17088"/>
        <a:stretch/>
      </xdr:blipFill>
      <xdr:spPr>
        <a:xfrm>
          <a:off x="5493628" y="43296"/>
          <a:ext cx="1590261" cy="1209465"/>
        </a:xfrm>
        <a:prstGeom prst="rect">
          <a:avLst/>
        </a:prstGeom>
      </xdr:spPr>
    </xdr:pic>
    <xdr:clientData/>
  </xdr:twoCellAnchor>
  <xdr:twoCellAnchor>
    <xdr:from>
      <xdr:col>6</xdr:col>
      <xdr:colOff>64378</xdr:colOff>
      <xdr:row>0</xdr:row>
      <xdr:rowOff>43296</xdr:rowOff>
    </xdr:from>
    <xdr:to>
      <xdr:col>6</xdr:col>
      <xdr:colOff>1654639</xdr:colOff>
      <xdr:row>4</xdr:row>
      <xdr:rowOff>138336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556" t="17556" r="17260" b="17088"/>
        <a:stretch/>
      </xdr:blipFill>
      <xdr:spPr>
        <a:xfrm>
          <a:off x="5493628" y="43296"/>
          <a:ext cx="1590261" cy="1228515"/>
        </a:xfrm>
        <a:prstGeom prst="rect">
          <a:avLst/>
        </a:prstGeom>
      </xdr:spPr>
    </xdr:pic>
    <xdr:clientData/>
  </xdr:twoCellAnchor>
  <xdr:twoCellAnchor>
    <xdr:from>
      <xdr:col>6</xdr:col>
      <xdr:colOff>64378</xdr:colOff>
      <xdr:row>0</xdr:row>
      <xdr:rowOff>43296</xdr:rowOff>
    </xdr:from>
    <xdr:to>
      <xdr:col>6</xdr:col>
      <xdr:colOff>1654639</xdr:colOff>
      <xdr:row>4</xdr:row>
      <xdr:rowOff>138336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556" t="17556" r="17260" b="17088"/>
        <a:stretch/>
      </xdr:blipFill>
      <xdr:spPr>
        <a:xfrm>
          <a:off x="5493628" y="43296"/>
          <a:ext cx="1590261" cy="1228515"/>
        </a:xfrm>
        <a:prstGeom prst="rect">
          <a:avLst/>
        </a:prstGeom>
      </xdr:spPr>
    </xdr:pic>
    <xdr:clientData/>
  </xdr:twoCellAnchor>
  <xdr:twoCellAnchor>
    <xdr:from>
      <xdr:col>6</xdr:col>
      <xdr:colOff>45328</xdr:colOff>
      <xdr:row>0</xdr:row>
      <xdr:rowOff>68696</xdr:rowOff>
    </xdr:from>
    <xdr:to>
      <xdr:col>6</xdr:col>
      <xdr:colOff>1635589</xdr:colOff>
      <xdr:row>4</xdr:row>
      <xdr:rowOff>163736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556" t="17556" r="17260" b="17088"/>
        <a:stretch/>
      </xdr:blipFill>
      <xdr:spPr>
        <a:xfrm>
          <a:off x="5474578" y="68696"/>
          <a:ext cx="1590261" cy="1228515"/>
        </a:xfrm>
        <a:prstGeom prst="rect">
          <a:avLst/>
        </a:prstGeom>
      </xdr:spPr>
    </xdr:pic>
    <xdr:clientData/>
  </xdr:twoCellAnchor>
  <xdr:twoCellAnchor>
    <xdr:from>
      <xdr:col>6</xdr:col>
      <xdr:colOff>45328</xdr:colOff>
      <xdr:row>0</xdr:row>
      <xdr:rowOff>68696</xdr:rowOff>
    </xdr:from>
    <xdr:to>
      <xdr:col>6</xdr:col>
      <xdr:colOff>1635589</xdr:colOff>
      <xdr:row>4</xdr:row>
      <xdr:rowOff>163736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556" t="17556" r="17260" b="17088"/>
        <a:stretch/>
      </xdr:blipFill>
      <xdr:spPr>
        <a:xfrm>
          <a:off x="5474578" y="68696"/>
          <a:ext cx="1590261" cy="122851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64378</xdr:colOff>
      <xdr:row>0</xdr:row>
      <xdr:rowOff>43296</xdr:rowOff>
    </xdr:from>
    <xdr:to>
      <xdr:col>6</xdr:col>
      <xdr:colOff>1654639</xdr:colOff>
      <xdr:row>4</xdr:row>
      <xdr:rowOff>138336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556" t="17556" r="17260" b="17088"/>
        <a:stretch/>
      </xdr:blipFill>
      <xdr:spPr>
        <a:xfrm>
          <a:off x="5493628" y="43296"/>
          <a:ext cx="1590261" cy="1209465"/>
        </a:xfrm>
        <a:prstGeom prst="rect">
          <a:avLst/>
        </a:prstGeom>
      </xdr:spPr>
    </xdr:pic>
    <xdr:clientData/>
  </xdr:twoCellAnchor>
  <xdr:twoCellAnchor>
    <xdr:from>
      <xdr:col>6</xdr:col>
      <xdr:colOff>64378</xdr:colOff>
      <xdr:row>0</xdr:row>
      <xdr:rowOff>43296</xdr:rowOff>
    </xdr:from>
    <xdr:to>
      <xdr:col>6</xdr:col>
      <xdr:colOff>1654639</xdr:colOff>
      <xdr:row>4</xdr:row>
      <xdr:rowOff>138336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556" t="17556" r="17260" b="17088"/>
        <a:stretch/>
      </xdr:blipFill>
      <xdr:spPr>
        <a:xfrm>
          <a:off x="5493628" y="43296"/>
          <a:ext cx="1590261" cy="1228515"/>
        </a:xfrm>
        <a:prstGeom prst="rect">
          <a:avLst/>
        </a:prstGeom>
      </xdr:spPr>
    </xdr:pic>
    <xdr:clientData/>
  </xdr:twoCellAnchor>
  <xdr:twoCellAnchor>
    <xdr:from>
      <xdr:col>6</xdr:col>
      <xdr:colOff>45328</xdr:colOff>
      <xdr:row>0</xdr:row>
      <xdr:rowOff>68696</xdr:rowOff>
    </xdr:from>
    <xdr:to>
      <xdr:col>6</xdr:col>
      <xdr:colOff>1635589</xdr:colOff>
      <xdr:row>4</xdr:row>
      <xdr:rowOff>163736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556" t="17556" r="17260" b="17088"/>
        <a:stretch/>
      </xdr:blipFill>
      <xdr:spPr>
        <a:xfrm>
          <a:off x="5474578" y="68696"/>
          <a:ext cx="1590261" cy="1228515"/>
        </a:xfrm>
        <a:prstGeom prst="rect">
          <a:avLst/>
        </a:prstGeom>
      </xdr:spPr>
    </xdr:pic>
    <xdr:clientData/>
  </xdr:twoCellAnchor>
  <xdr:twoCellAnchor>
    <xdr:from>
      <xdr:col>6</xdr:col>
      <xdr:colOff>64378</xdr:colOff>
      <xdr:row>0</xdr:row>
      <xdr:rowOff>43296</xdr:rowOff>
    </xdr:from>
    <xdr:to>
      <xdr:col>6</xdr:col>
      <xdr:colOff>1654639</xdr:colOff>
      <xdr:row>4</xdr:row>
      <xdr:rowOff>138336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556" t="17556" r="17260" b="17088"/>
        <a:stretch/>
      </xdr:blipFill>
      <xdr:spPr>
        <a:xfrm>
          <a:off x="5493628" y="43296"/>
          <a:ext cx="1590261" cy="1228515"/>
        </a:xfrm>
        <a:prstGeom prst="rect">
          <a:avLst/>
        </a:prstGeom>
      </xdr:spPr>
    </xdr:pic>
    <xdr:clientData/>
  </xdr:twoCellAnchor>
  <xdr:twoCellAnchor>
    <xdr:from>
      <xdr:col>6</xdr:col>
      <xdr:colOff>64378</xdr:colOff>
      <xdr:row>0</xdr:row>
      <xdr:rowOff>43296</xdr:rowOff>
    </xdr:from>
    <xdr:to>
      <xdr:col>6</xdr:col>
      <xdr:colOff>1654639</xdr:colOff>
      <xdr:row>4</xdr:row>
      <xdr:rowOff>138336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556" t="17556" r="17260" b="17088"/>
        <a:stretch/>
      </xdr:blipFill>
      <xdr:spPr>
        <a:xfrm>
          <a:off x="5493628" y="43296"/>
          <a:ext cx="1590261" cy="1228515"/>
        </a:xfrm>
        <a:prstGeom prst="rect">
          <a:avLst/>
        </a:prstGeom>
      </xdr:spPr>
    </xdr:pic>
    <xdr:clientData/>
  </xdr:twoCellAnchor>
  <xdr:twoCellAnchor>
    <xdr:from>
      <xdr:col>6</xdr:col>
      <xdr:colOff>45328</xdr:colOff>
      <xdr:row>0</xdr:row>
      <xdr:rowOff>68696</xdr:rowOff>
    </xdr:from>
    <xdr:to>
      <xdr:col>6</xdr:col>
      <xdr:colOff>1635589</xdr:colOff>
      <xdr:row>4</xdr:row>
      <xdr:rowOff>163736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556" t="17556" r="17260" b="17088"/>
        <a:stretch/>
      </xdr:blipFill>
      <xdr:spPr>
        <a:xfrm>
          <a:off x="5474578" y="68696"/>
          <a:ext cx="1590261" cy="1228515"/>
        </a:xfrm>
        <a:prstGeom prst="rect">
          <a:avLst/>
        </a:prstGeom>
      </xdr:spPr>
    </xdr:pic>
    <xdr:clientData/>
  </xdr:twoCellAnchor>
  <xdr:twoCellAnchor>
    <xdr:from>
      <xdr:col>6</xdr:col>
      <xdr:colOff>45328</xdr:colOff>
      <xdr:row>0</xdr:row>
      <xdr:rowOff>68696</xdr:rowOff>
    </xdr:from>
    <xdr:to>
      <xdr:col>6</xdr:col>
      <xdr:colOff>1635589</xdr:colOff>
      <xdr:row>4</xdr:row>
      <xdr:rowOff>163736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556" t="17556" r="17260" b="17088"/>
        <a:stretch/>
      </xdr:blipFill>
      <xdr:spPr>
        <a:xfrm>
          <a:off x="5474578" y="68696"/>
          <a:ext cx="1590261" cy="1228515"/>
        </a:xfrm>
        <a:prstGeom prst="rect">
          <a:avLst/>
        </a:prstGeom>
      </xdr:spPr>
    </xdr:pic>
    <xdr:clientData/>
  </xdr:twoCellAnchor>
  <xdr:twoCellAnchor>
    <xdr:from>
      <xdr:col>6</xdr:col>
      <xdr:colOff>64378</xdr:colOff>
      <xdr:row>0</xdr:row>
      <xdr:rowOff>43296</xdr:rowOff>
    </xdr:from>
    <xdr:to>
      <xdr:col>6</xdr:col>
      <xdr:colOff>1654639</xdr:colOff>
      <xdr:row>4</xdr:row>
      <xdr:rowOff>138336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556" t="17556" r="17260" b="17088"/>
        <a:stretch/>
      </xdr:blipFill>
      <xdr:spPr>
        <a:xfrm>
          <a:off x="5493628" y="43296"/>
          <a:ext cx="1590261" cy="1228515"/>
        </a:xfrm>
        <a:prstGeom prst="rect">
          <a:avLst/>
        </a:prstGeom>
      </xdr:spPr>
    </xdr:pic>
    <xdr:clientData/>
  </xdr:twoCellAnchor>
  <xdr:twoCellAnchor>
    <xdr:from>
      <xdr:col>6</xdr:col>
      <xdr:colOff>64378</xdr:colOff>
      <xdr:row>0</xdr:row>
      <xdr:rowOff>43296</xdr:rowOff>
    </xdr:from>
    <xdr:to>
      <xdr:col>6</xdr:col>
      <xdr:colOff>1654639</xdr:colOff>
      <xdr:row>4</xdr:row>
      <xdr:rowOff>138336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556" t="17556" r="17260" b="17088"/>
        <a:stretch/>
      </xdr:blipFill>
      <xdr:spPr>
        <a:xfrm>
          <a:off x="5493628" y="43296"/>
          <a:ext cx="1590261" cy="1228515"/>
        </a:xfrm>
        <a:prstGeom prst="rect">
          <a:avLst/>
        </a:prstGeom>
      </xdr:spPr>
    </xdr:pic>
    <xdr:clientData/>
  </xdr:twoCellAnchor>
  <xdr:twoCellAnchor>
    <xdr:from>
      <xdr:col>6</xdr:col>
      <xdr:colOff>45328</xdr:colOff>
      <xdr:row>0</xdr:row>
      <xdr:rowOff>68696</xdr:rowOff>
    </xdr:from>
    <xdr:to>
      <xdr:col>6</xdr:col>
      <xdr:colOff>1635589</xdr:colOff>
      <xdr:row>4</xdr:row>
      <xdr:rowOff>163736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556" t="17556" r="17260" b="17088"/>
        <a:stretch/>
      </xdr:blipFill>
      <xdr:spPr>
        <a:xfrm>
          <a:off x="5474578" y="68696"/>
          <a:ext cx="1590261" cy="1228515"/>
        </a:xfrm>
        <a:prstGeom prst="rect">
          <a:avLst/>
        </a:prstGeom>
      </xdr:spPr>
    </xdr:pic>
    <xdr:clientData/>
  </xdr:twoCellAnchor>
  <xdr:twoCellAnchor>
    <xdr:from>
      <xdr:col>6</xdr:col>
      <xdr:colOff>45328</xdr:colOff>
      <xdr:row>0</xdr:row>
      <xdr:rowOff>68696</xdr:rowOff>
    </xdr:from>
    <xdr:to>
      <xdr:col>6</xdr:col>
      <xdr:colOff>1635589</xdr:colOff>
      <xdr:row>4</xdr:row>
      <xdr:rowOff>163736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00000000-0008-0000-0500-00000C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556" t="17556" r="17260" b="17088"/>
        <a:stretch/>
      </xdr:blipFill>
      <xdr:spPr>
        <a:xfrm>
          <a:off x="5474578" y="68696"/>
          <a:ext cx="1590261" cy="122851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64378</xdr:colOff>
      <xdr:row>0</xdr:row>
      <xdr:rowOff>43296</xdr:rowOff>
    </xdr:from>
    <xdr:to>
      <xdr:col>6</xdr:col>
      <xdr:colOff>1654639</xdr:colOff>
      <xdr:row>4</xdr:row>
      <xdr:rowOff>138336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556" t="17556" r="17260" b="17088"/>
        <a:stretch/>
      </xdr:blipFill>
      <xdr:spPr>
        <a:xfrm>
          <a:off x="5493628" y="43296"/>
          <a:ext cx="1590261" cy="1209465"/>
        </a:xfrm>
        <a:prstGeom prst="rect">
          <a:avLst/>
        </a:prstGeom>
      </xdr:spPr>
    </xdr:pic>
    <xdr:clientData/>
  </xdr:twoCellAnchor>
  <xdr:twoCellAnchor>
    <xdr:from>
      <xdr:col>6</xdr:col>
      <xdr:colOff>45328</xdr:colOff>
      <xdr:row>0</xdr:row>
      <xdr:rowOff>68696</xdr:rowOff>
    </xdr:from>
    <xdr:to>
      <xdr:col>6</xdr:col>
      <xdr:colOff>1635589</xdr:colOff>
      <xdr:row>4</xdr:row>
      <xdr:rowOff>163736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556" t="17556" r="17260" b="17088"/>
        <a:stretch/>
      </xdr:blipFill>
      <xdr:spPr>
        <a:xfrm>
          <a:off x="5884153" y="68696"/>
          <a:ext cx="1590261" cy="1371390"/>
        </a:xfrm>
        <a:prstGeom prst="rect">
          <a:avLst/>
        </a:prstGeom>
      </xdr:spPr>
    </xdr:pic>
    <xdr:clientData/>
  </xdr:twoCellAnchor>
  <xdr:twoCellAnchor>
    <xdr:from>
      <xdr:col>6</xdr:col>
      <xdr:colOff>64378</xdr:colOff>
      <xdr:row>0</xdr:row>
      <xdr:rowOff>43296</xdr:rowOff>
    </xdr:from>
    <xdr:to>
      <xdr:col>6</xdr:col>
      <xdr:colOff>1654639</xdr:colOff>
      <xdr:row>4</xdr:row>
      <xdr:rowOff>138336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556" t="17556" r="17260" b="17088"/>
        <a:stretch/>
      </xdr:blipFill>
      <xdr:spPr>
        <a:xfrm>
          <a:off x="5493628" y="43296"/>
          <a:ext cx="1590261" cy="1228515"/>
        </a:xfrm>
        <a:prstGeom prst="rect">
          <a:avLst/>
        </a:prstGeom>
      </xdr:spPr>
    </xdr:pic>
    <xdr:clientData/>
  </xdr:twoCellAnchor>
  <xdr:twoCellAnchor>
    <xdr:from>
      <xdr:col>6</xdr:col>
      <xdr:colOff>64378</xdr:colOff>
      <xdr:row>0</xdr:row>
      <xdr:rowOff>43296</xdr:rowOff>
    </xdr:from>
    <xdr:to>
      <xdr:col>6</xdr:col>
      <xdr:colOff>1654639</xdr:colOff>
      <xdr:row>4</xdr:row>
      <xdr:rowOff>138336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556" t="17556" r="17260" b="17088"/>
        <a:stretch/>
      </xdr:blipFill>
      <xdr:spPr>
        <a:xfrm>
          <a:off x="5493628" y="43296"/>
          <a:ext cx="1590261" cy="1228515"/>
        </a:xfrm>
        <a:prstGeom prst="rect">
          <a:avLst/>
        </a:prstGeom>
      </xdr:spPr>
    </xdr:pic>
    <xdr:clientData/>
  </xdr:twoCellAnchor>
  <xdr:twoCellAnchor>
    <xdr:from>
      <xdr:col>6</xdr:col>
      <xdr:colOff>45328</xdr:colOff>
      <xdr:row>0</xdr:row>
      <xdr:rowOff>68696</xdr:rowOff>
    </xdr:from>
    <xdr:to>
      <xdr:col>6</xdr:col>
      <xdr:colOff>1635589</xdr:colOff>
      <xdr:row>4</xdr:row>
      <xdr:rowOff>163736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556" t="17556" r="17260" b="17088"/>
        <a:stretch/>
      </xdr:blipFill>
      <xdr:spPr>
        <a:xfrm>
          <a:off x="5474578" y="68696"/>
          <a:ext cx="1590261" cy="1228515"/>
        </a:xfrm>
        <a:prstGeom prst="rect">
          <a:avLst/>
        </a:prstGeom>
      </xdr:spPr>
    </xdr:pic>
    <xdr:clientData/>
  </xdr:twoCellAnchor>
  <xdr:twoCellAnchor>
    <xdr:from>
      <xdr:col>6</xdr:col>
      <xdr:colOff>45328</xdr:colOff>
      <xdr:row>0</xdr:row>
      <xdr:rowOff>68696</xdr:rowOff>
    </xdr:from>
    <xdr:to>
      <xdr:col>6</xdr:col>
      <xdr:colOff>1635589</xdr:colOff>
      <xdr:row>4</xdr:row>
      <xdr:rowOff>163736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556" t="17556" r="17260" b="17088"/>
        <a:stretch/>
      </xdr:blipFill>
      <xdr:spPr>
        <a:xfrm>
          <a:off x="5474578" y="68696"/>
          <a:ext cx="1590261" cy="1228515"/>
        </a:xfrm>
        <a:prstGeom prst="rect">
          <a:avLst/>
        </a:prstGeom>
      </xdr:spPr>
    </xdr:pic>
    <xdr:clientData/>
  </xdr:twoCellAnchor>
  <xdr:twoCellAnchor>
    <xdr:from>
      <xdr:col>6</xdr:col>
      <xdr:colOff>64378</xdr:colOff>
      <xdr:row>0</xdr:row>
      <xdr:rowOff>43296</xdr:rowOff>
    </xdr:from>
    <xdr:to>
      <xdr:col>6</xdr:col>
      <xdr:colOff>1654639</xdr:colOff>
      <xdr:row>4</xdr:row>
      <xdr:rowOff>138336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556" t="17556" r="17260" b="17088"/>
        <a:stretch/>
      </xdr:blipFill>
      <xdr:spPr>
        <a:xfrm>
          <a:off x="5493628" y="43296"/>
          <a:ext cx="1590261" cy="1228515"/>
        </a:xfrm>
        <a:prstGeom prst="rect">
          <a:avLst/>
        </a:prstGeom>
      </xdr:spPr>
    </xdr:pic>
    <xdr:clientData/>
  </xdr:twoCellAnchor>
  <xdr:twoCellAnchor>
    <xdr:from>
      <xdr:col>6</xdr:col>
      <xdr:colOff>64378</xdr:colOff>
      <xdr:row>0</xdr:row>
      <xdr:rowOff>43296</xdr:rowOff>
    </xdr:from>
    <xdr:to>
      <xdr:col>6</xdr:col>
      <xdr:colOff>1654639</xdr:colOff>
      <xdr:row>4</xdr:row>
      <xdr:rowOff>138336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556" t="17556" r="17260" b="17088"/>
        <a:stretch/>
      </xdr:blipFill>
      <xdr:spPr>
        <a:xfrm>
          <a:off x="5493628" y="43296"/>
          <a:ext cx="1590261" cy="1228515"/>
        </a:xfrm>
        <a:prstGeom prst="rect">
          <a:avLst/>
        </a:prstGeom>
      </xdr:spPr>
    </xdr:pic>
    <xdr:clientData/>
  </xdr:twoCellAnchor>
  <xdr:twoCellAnchor>
    <xdr:from>
      <xdr:col>6</xdr:col>
      <xdr:colOff>45328</xdr:colOff>
      <xdr:row>0</xdr:row>
      <xdr:rowOff>68696</xdr:rowOff>
    </xdr:from>
    <xdr:to>
      <xdr:col>6</xdr:col>
      <xdr:colOff>1635589</xdr:colOff>
      <xdr:row>4</xdr:row>
      <xdr:rowOff>163736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556" t="17556" r="17260" b="17088"/>
        <a:stretch/>
      </xdr:blipFill>
      <xdr:spPr>
        <a:xfrm>
          <a:off x="5474578" y="68696"/>
          <a:ext cx="1590261" cy="1228515"/>
        </a:xfrm>
        <a:prstGeom prst="rect">
          <a:avLst/>
        </a:prstGeom>
      </xdr:spPr>
    </xdr:pic>
    <xdr:clientData/>
  </xdr:twoCellAnchor>
  <xdr:twoCellAnchor>
    <xdr:from>
      <xdr:col>6</xdr:col>
      <xdr:colOff>45328</xdr:colOff>
      <xdr:row>0</xdr:row>
      <xdr:rowOff>68696</xdr:rowOff>
    </xdr:from>
    <xdr:to>
      <xdr:col>6</xdr:col>
      <xdr:colOff>1635589</xdr:colOff>
      <xdr:row>4</xdr:row>
      <xdr:rowOff>163736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00000000-0008-0000-0600-00000C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556" t="17556" r="17260" b="17088"/>
        <a:stretch/>
      </xdr:blipFill>
      <xdr:spPr>
        <a:xfrm>
          <a:off x="5474578" y="68696"/>
          <a:ext cx="1590261" cy="122851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64378</xdr:colOff>
      <xdr:row>0</xdr:row>
      <xdr:rowOff>43296</xdr:rowOff>
    </xdr:from>
    <xdr:to>
      <xdr:col>6</xdr:col>
      <xdr:colOff>1654639</xdr:colOff>
      <xdr:row>4</xdr:row>
      <xdr:rowOff>138336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556" t="17556" r="17260" b="17088"/>
        <a:stretch/>
      </xdr:blipFill>
      <xdr:spPr>
        <a:xfrm>
          <a:off x="5493628" y="43296"/>
          <a:ext cx="1590261" cy="1209465"/>
        </a:xfrm>
        <a:prstGeom prst="rect">
          <a:avLst/>
        </a:prstGeom>
      </xdr:spPr>
    </xdr:pic>
    <xdr:clientData/>
  </xdr:twoCellAnchor>
  <xdr:twoCellAnchor>
    <xdr:from>
      <xdr:col>6</xdr:col>
      <xdr:colOff>45328</xdr:colOff>
      <xdr:row>0</xdr:row>
      <xdr:rowOff>68696</xdr:rowOff>
    </xdr:from>
    <xdr:to>
      <xdr:col>6</xdr:col>
      <xdr:colOff>1635589</xdr:colOff>
      <xdr:row>4</xdr:row>
      <xdr:rowOff>163736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556" t="17556" r="17260" b="17088"/>
        <a:stretch/>
      </xdr:blipFill>
      <xdr:spPr>
        <a:xfrm>
          <a:off x="5884153" y="68696"/>
          <a:ext cx="1590261" cy="1371390"/>
        </a:xfrm>
        <a:prstGeom prst="rect">
          <a:avLst/>
        </a:prstGeom>
      </xdr:spPr>
    </xdr:pic>
    <xdr:clientData/>
  </xdr:twoCellAnchor>
  <xdr:twoCellAnchor>
    <xdr:from>
      <xdr:col>6</xdr:col>
      <xdr:colOff>64378</xdr:colOff>
      <xdr:row>0</xdr:row>
      <xdr:rowOff>43296</xdr:rowOff>
    </xdr:from>
    <xdr:to>
      <xdr:col>6</xdr:col>
      <xdr:colOff>1654639</xdr:colOff>
      <xdr:row>4</xdr:row>
      <xdr:rowOff>138336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00000000-0008-0000-0700-00000B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556" t="17556" r="17260" b="17088"/>
        <a:stretch/>
      </xdr:blipFill>
      <xdr:spPr>
        <a:xfrm>
          <a:off x="5493628" y="43296"/>
          <a:ext cx="1590261" cy="1228515"/>
        </a:xfrm>
        <a:prstGeom prst="rect">
          <a:avLst/>
        </a:prstGeom>
      </xdr:spPr>
    </xdr:pic>
    <xdr:clientData/>
  </xdr:twoCellAnchor>
  <xdr:twoCellAnchor>
    <xdr:from>
      <xdr:col>6</xdr:col>
      <xdr:colOff>64378</xdr:colOff>
      <xdr:row>0</xdr:row>
      <xdr:rowOff>43296</xdr:rowOff>
    </xdr:from>
    <xdr:to>
      <xdr:col>6</xdr:col>
      <xdr:colOff>1654639</xdr:colOff>
      <xdr:row>4</xdr:row>
      <xdr:rowOff>138336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00000000-0008-0000-0700-00000C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556" t="17556" r="17260" b="17088"/>
        <a:stretch/>
      </xdr:blipFill>
      <xdr:spPr>
        <a:xfrm>
          <a:off x="5493628" y="43296"/>
          <a:ext cx="1590261" cy="1228515"/>
        </a:xfrm>
        <a:prstGeom prst="rect">
          <a:avLst/>
        </a:prstGeom>
      </xdr:spPr>
    </xdr:pic>
    <xdr:clientData/>
  </xdr:twoCellAnchor>
  <xdr:twoCellAnchor>
    <xdr:from>
      <xdr:col>6</xdr:col>
      <xdr:colOff>45328</xdr:colOff>
      <xdr:row>0</xdr:row>
      <xdr:rowOff>68696</xdr:rowOff>
    </xdr:from>
    <xdr:to>
      <xdr:col>6</xdr:col>
      <xdr:colOff>1635589</xdr:colOff>
      <xdr:row>4</xdr:row>
      <xdr:rowOff>163736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00000000-0008-0000-0700-00000D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556" t="17556" r="17260" b="17088"/>
        <a:stretch/>
      </xdr:blipFill>
      <xdr:spPr>
        <a:xfrm>
          <a:off x="5474578" y="68696"/>
          <a:ext cx="1590261" cy="1228515"/>
        </a:xfrm>
        <a:prstGeom prst="rect">
          <a:avLst/>
        </a:prstGeom>
      </xdr:spPr>
    </xdr:pic>
    <xdr:clientData/>
  </xdr:twoCellAnchor>
  <xdr:twoCellAnchor>
    <xdr:from>
      <xdr:col>6</xdr:col>
      <xdr:colOff>45328</xdr:colOff>
      <xdr:row>0</xdr:row>
      <xdr:rowOff>68696</xdr:rowOff>
    </xdr:from>
    <xdr:to>
      <xdr:col>6</xdr:col>
      <xdr:colOff>1635589</xdr:colOff>
      <xdr:row>4</xdr:row>
      <xdr:rowOff>163736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00000000-0008-0000-0700-00000E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556" t="17556" r="17260" b="17088"/>
        <a:stretch/>
      </xdr:blipFill>
      <xdr:spPr>
        <a:xfrm>
          <a:off x="5474578" y="68696"/>
          <a:ext cx="1590261" cy="1228515"/>
        </a:xfrm>
        <a:prstGeom prst="rect">
          <a:avLst/>
        </a:prstGeom>
      </xdr:spPr>
    </xdr:pic>
    <xdr:clientData/>
  </xdr:twoCellAnchor>
  <xdr:twoCellAnchor>
    <xdr:from>
      <xdr:col>6</xdr:col>
      <xdr:colOff>64378</xdr:colOff>
      <xdr:row>0</xdr:row>
      <xdr:rowOff>43296</xdr:rowOff>
    </xdr:from>
    <xdr:to>
      <xdr:col>6</xdr:col>
      <xdr:colOff>1654639</xdr:colOff>
      <xdr:row>4</xdr:row>
      <xdr:rowOff>138336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00000000-0008-0000-0700-00000F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556" t="17556" r="17260" b="17088"/>
        <a:stretch/>
      </xdr:blipFill>
      <xdr:spPr>
        <a:xfrm>
          <a:off x="5493628" y="43296"/>
          <a:ext cx="1590261" cy="1228515"/>
        </a:xfrm>
        <a:prstGeom prst="rect">
          <a:avLst/>
        </a:prstGeom>
      </xdr:spPr>
    </xdr:pic>
    <xdr:clientData/>
  </xdr:twoCellAnchor>
  <xdr:twoCellAnchor>
    <xdr:from>
      <xdr:col>6</xdr:col>
      <xdr:colOff>64378</xdr:colOff>
      <xdr:row>0</xdr:row>
      <xdr:rowOff>43296</xdr:rowOff>
    </xdr:from>
    <xdr:to>
      <xdr:col>6</xdr:col>
      <xdr:colOff>1654639</xdr:colOff>
      <xdr:row>4</xdr:row>
      <xdr:rowOff>138336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00000000-0008-0000-0700-000010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556" t="17556" r="17260" b="17088"/>
        <a:stretch/>
      </xdr:blipFill>
      <xdr:spPr>
        <a:xfrm>
          <a:off x="5493628" y="43296"/>
          <a:ext cx="1590261" cy="1228515"/>
        </a:xfrm>
        <a:prstGeom prst="rect">
          <a:avLst/>
        </a:prstGeom>
      </xdr:spPr>
    </xdr:pic>
    <xdr:clientData/>
  </xdr:twoCellAnchor>
  <xdr:twoCellAnchor>
    <xdr:from>
      <xdr:col>6</xdr:col>
      <xdr:colOff>45328</xdr:colOff>
      <xdr:row>0</xdr:row>
      <xdr:rowOff>68696</xdr:rowOff>
    </xdr:from>
    <xdr:to>
      <xdr:col>6</xdr:col>
      <xdr:colOff>1635589</xdr:colOff>
      <xdr:row>4</xdr:row>
      <xdr:rowOff>163736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00000000-0008-0000-0700-000011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556" t="17556" r="17260" b="17088"/>
        <a:stretch/>
      </xdr:blipFill>
      <xdr:spPr>
        <a:xfrm>
          <a:off x="5474578" y="68696"/>
          <a:ext cx="1590261" cy="1228515"/>
        </a:xfrm>
        <a:prstGeom prst="rect">
          <a:avLst/>
        </a:prstGeom>
      </xdr:spPr>
    </xdr:pic>
    <xdr:clientData/>
  </xdr:twoCellAnchor>
  <xdr:twoCellAnchor>
    <xdr:from>
      <xdr:col>6</xdr:col>
      <xdr:colOff>45328</xdr:colOff>
      <xdr:row>0</xdr:row>
      <xdr:rowOff>68696</xdr:rowOff>
    </xdr:from>
    <xdr:to>
      <xdr:col>6</xdr:col>
      <xdr:colOff>1635589</xdr:colOff>
      <xdr:row>4</xdr:row>
      <xdr:rowOff>163736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00000000-0008-0000-0700-00001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556" t="17556" r="17260" b="17088"/>
        <a:stretch/>
      </xdr:blipFill>
      <xdr:spPr>
        <a:xfrm>
          <a:off x="5474578" y="68696"/>
          <a:ext cx="1590261" cy="122851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64378</xdr:colOff>
      <xdr:row>0</xdr:row>
      <xdr:rowOff>43296</xdr:rowOff>
    </xdr:from>
    <xdr:to>
      <xdr:col>6</xdr:col>
      <xdr:colOff>1654639</xdr:colOff>
      <xdr:row>4</xdr:row>
      <xdr:rowOff>138336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556" t="17556" r="17260" b="17088"/>
        <a:stretch/>
      </xdr:blipFill>
      <xdr:spPr>
        <a:xfrm>
          <a:off x="5493628" y="43296"/>
          <a:ext cx="1590261" cy="1209465"/>
        </a:xfrm>
        <a:prstGeom prst="rect">
          <a:avLst/>
        </a:prstGeom>
      </xdr:spPr>
    </xdr:pic>
    <xdr:clientData/>
  </xdr:twoCellAnchor>
  <xdr:twoCellAnchor>
    <xdr:from>
      <xdr:col>6</xdr:col>
      <xdr:colOff>64378</xdr:colOff>
      <xdr:row>0</xdr:row>
      <xdr:rowOff>43296</xdr:rowOff>
    </xdr:from>
    <xdr:to>
      <xdr:col>6</xdr:col>
      <xdr:colOff>1654639</xdr:colOff>
      <xdr:row>4</xdr:row>
      <xdr:rowOff>138336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556" t="17556" r="17260" b="17088"/>
        <a:stretch/>
      </xdr:blipFill>
      <xdr:spPr>
        <a:xfrm>
          <a:off x="5493628" y="43296"/>
          <a:ext cx="1590261" cy="1228515"/>
        </a:xfrm>
        <a:prstGeom prst="rect">
          <a:avLst/>
        </a:prstGeom>
      </xdr:spPr>
    </xdr:pic>
    <xdr:clientData/>
  </xdr:twoCellAnchor>
  <xdr:twoCellAnchor>
    <xdr:from>
      <xdr:col>6</xdr:col>
      <xdr:colOff>64378</xdr:colOff>
      <xdr:row>0</xdr:row>
      <xdr:rowOff>43296</xdr:rowOff>
    </xdr:from>
    <xdr:to>
      <xdr:col>6</xdr:col>
      <xdr:colOff>1654639</xdr:colOff>
      <xdr:row>4</xdr:row>
      <xdr:rowOff>138336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556" t="17556" r="17260" b="17088"/>
        <a:stretch/>
      </xdr:blipFill>
      <xdr:spPr>
        <a:xfrm>
          <a:off x="5493628" y="43296"/>
          <a:ext cx="1590261" cy="1228515"/>
        </a:xfrm>
        <a:prstGeom prst="rect">
          <a:avLst/>
        </a:prstGeom>
      </xdr:spPr>
    </xdr:pic>
    <xdr:clientData/>
  </xdr:twoCellAnchor>
  <xdr:twoCellAnchor>
    <xdr:from>
      <xdr:col>6</xdr:col>
      <xdr:colOff>45328</xdr:colOff>
      <xdr:row>0</xdr:row>
      <xdr:rowOff>68696</xdr:rowOff>
    </xdr:from>
    <xdr:to>
      <xdr:col>6</xdr:col>
      <xdr:colOff>1635589</xdr:colOff>
      <xdr:row>4</xdr:row>
      <xdr:rowOff>163736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556" t="17556" r="17260" b="17088"/>
        <a:stretch/>
      </xdr:blipFill>
      <xdr:spPr>
        <a:xfrm>
          <a:off x="5474578" y="68696"/>
          <a:ext cx="1590261" cy="1228515"/>
        </a:xfrm>
        <a:prstGeom prst="rect">
          <a:avLst/>
        </a:prstGeom>
      </xdr:spPr>
    </xdr:pic>
    <xdr:clientData/>
  </xdr:twoCellAnchor>
  <xdr:twoCellAnchor>
    <xdr:from>
      <xdr:col>6</xdr:col>
      <xdr:colOff>45328</xdr:colOff>
      <xdr:row>0</xdr:row>
      <xdr:rowOff>68696</xdr:rowOff>
    </xdr:from>
    <xdr:to>
      <xdr:col>6</xdr:col>
      <xdr:colOff>1635589</xdr:colOff>
      <xdr:row>4</xdr:row>
      <xdr:rowOff>163736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556" t="17556" r="17260" b="17088"/>
        <a:stretch/>
      </xdr:blipFill>
      <xdr:spPr>
        <a:xfrm>
          <a:off x="5474578" y="68696"/>
          <a:ext cx="1590261" cy="122851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64378</xdr:colOff>
      <xdr:row>0</xdr:row>
      <xdr:rowOff>43296</xdr:rowOff>
    </xdr:from>
    <xdr:to>
      <xdr:col>6</xdr:col>
      <xdr:colOff>1654639</xdr:colOff>
      <xdr:row>4</xdr:row>
      <xdr:rowOff>138336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556" t="17556" r="17260" b="17088"/>
        <a:stretch/>
      </xdr:blipFill>
      <xdr:spPr>
        <a:xfrm>
          <a:off x="5493628" y="43296"/>
          <a:ext cx="1590261" cy="1209465"/>
        </a:xfrm>
        <a:prstGeom prst="rect">
          <a:avLst/>
        </a:prstGeom>
      </xdr:spPr>
    </xdr:pic>
    <xdr:clientData/>
  </xdr:twoCellAnchor>
  <xdr:twoCellAnchor>
    <xdr:from>
      <xdr:col>6</xdr:col>
      <xdr:colOff>64378</xdr:colOff>
      <xdr:row>0</xdr:row>
      <xdr:rowOff>43296</xdr:rowOff>
    </xdr:from>
    <xdr:to>
      <xdr:col>6</xdr:col>
      <xdr:colOff>1654639</xdr:colOff>
      <xdr:row>4</xdr:row>
      <xdr:rowOff>138336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556" t="17556" r="17260" b="17088"/>
        <a:stretch/>
      </xdr:blipFill>
      <xdr:spPr>
        <a:xfrm>
          <a:off x="5493628" y="43296"/>
          <a:ext cx="1590261" cy="1228515"/>
        </a:xfrm>
        <a:prstGeom prst="rect">
          <a:avLst/>
        </a:prstGeom>
      </xdr:spPr>
    </xdr:pic>
    <xdr:clientData/>
  </xdr:twoCellAnchor>
  <xdr:twoCellAnchor>
    <xdr:from>
      <xdr:col>6</xdr:col>
      <xdr:colOff>64378</xdr:colOff>
      <xdr:row>0</xdr:row>
      <xdr:rowOff>43296</xdr:rowOff>
    </xdr:from>
    <xdr:to>
      <xdr:col>6</xdr:col>
      <xdr:colOff>1654639</xdr:colOff>
      <xdr:row>4</xdr:row>
      <xdr:rowOff>138336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556" t="17556" r="17260" b="17088"/>
        <a:stretch/>
      </xdr:blipFill>
      <xdr:spPr>
        <a:xfrm>
          <a:off x="5493628" y="43296"/>
          <a:ext cx="1590261" cy="1228515"/>
        </a:xfrm>
        <a:prstGeom prst="rect">
          <a:avLst/>
        </a:prstGeom>
      </xdr:spPr>
    </xdr:pic>
    <xdr:clientData/>
  </xdr:twoCellAnchor>
  <xdr:twoCellAnchor>
    <xdr:from>
      <xdr:col>6</xdr:col>
      <xdr:colOff>45328</xdr:colOff>
      <xdr:row>0</xdr:row>
      <xdr:rowOff>68696</xdr:rowOff>
    </xdr:from>
    <xdr:to>
      <xdr:col>6</xdr:col>
      <xdr:colOff>1635589</xdr:colOff>
      <xdr:row>4</xdr:row>
      <xdr:rowOff>163736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556" t="17556" r="17260" b="17088"/>
        <a:stretch/>
      </xdr:blipFill>
      <xdr:spPr>
        <a:xfrm>
          <a:off x="5474578" y="68696"/>
          <a:ext cx="1590261" cy="1228515"/>
        </a:xfrm>
        <a:prstGeom prst="rect">
          <a:avLst/>
        </a:prstGeom>
      </xdr:spPr>
    </xdr:pic>
    <xdr:clientData/>
  </xdr:twoCellAnchor>
  <xdr:twoCellAnchor>
    <xdr:from>
      <xdr:col>6</xdr:col>
      <xdr:colOff>45328</xdr:colOff>
      <xdr:row>0</xdr:row>
      <xdr:rowOff>68696</xdr:rowOff>
    </xdr:from>
    <xdr:to>
      <xdr:col>6</xdr:col>
      <xdr:colOff>1635589</xdr:colOff>
      <xdr:row>4</xdr:row>
      <xdr:rowOff>163736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556" t="17556" r="17260" b="17088"/>
        <a:stretch/>
      </xdr:blipFill>
      <xdr:spPr>
        <a:xfrm>
          <a:off x="5474578" y="68696"/>
          <a:ext cx="1590261" cy="122851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64378</xdr:colOff>
      <xdr:row>0</xdr:row>
      <xdr:rowOff>43296</xdr:rowOff>
    </xdr:from>
    <xdr:to>
      <xdr:col>6</xdr:col>
      <xdr:colOff>1654639</xdr:colOff>
      <xdr:row>4</xdr:row>
      <xdr:rowOff>138336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556" t="17556" r="17260" b="17088"/>
        <a:stretch/>
      </xdr:blipFill>
      <xdr:spPr>
        <a:xfrm>
          <a:off x="6503278" y="43296"/>
          <a:ext cx="1590261" cy="1228515"/>
        </a:xfrm>
        <a:prstGeom prst="rect">
          <a:avLst/>
        </a:prstGeom>
      </xdr:spPr>
    </xdr:pic>
    <xdr:clientData/>
  </xdr:twoCellAnchor>
  <xdr:twoCellAnchor>
    <xdr:from>
      <xdr:col>6</xdr:col>
      <xdr:colOff>64378</xdr:colOff>
      <xdr:row>0</xdr:row>
      <xdr:rowOff>43296</xdr:rowOff>
    </xdr:from>
    <xdr:to>
      <xdr:col>6</xdr:col>
      <xdr:colOff>1654639</xdr:colOff>
      <xdr:row>4</xdr:row>
      <xdr:rowOff>138336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556" t="17556" r="17260" b="17088"/>
        <a:stretch/>
      </xdr:blipFill>
      <xdr:spPr>
        <a:xfrm>
          <a:off x="6503278" y="43296"/>
          <a:ext cx="1590261" cy="1228515"/>
        </a:xfrm>
        <a:prstGeom prst="rect">
          <a:avLst/>
        </a:prstGeom>
      </xdr:spPr>
    </xdr:pic>
    <xdr:clientData/>
  </xdr:twoCellAnchor>
  <xdr:twoCellAnchor>
    <xdr:from>
      <xdr:col>6</xdr:col>
      <xdr:colOff>64378</xdr:colOff>
      <xdr:row>0</xdr:row>
      <xdr:rowOff>43296</xdr:rowOff>
    </xdr:from>
    <xdr:to>
      <xdr:col>6</xdr:col>
      <xdr:colOff>1654639</xdr:colOff>
      <xdr:row>4</xdr:row>
      <xdr:rowOff>138336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556" t="17556" r="17260" b="17088"/>
        <a:stretch/>
      </xdr:blipFill>
      <xdr:spPr>
        <a:xfrm>
          <a:off x="6503278" y="43296"/>
          <a:ext cx="1590261" cy="1228515"/>
        </a:xfrm>
        <a:prstGeom prst="rect">
          <a:avLst/>
        </a:prstGeom>
      </xdr:spPr>
    </xdr:pic>
    <xdr:clientData/>
  </xdr:twoCellAnchor>
  <xdr:twoCellAnchor>
    <xdr:from>
      <xdr:col>6</xdr:col>
      <xdr:colOff>45328</xdr:colOff>
      <xdr:row>0</xdr:row>
      <xdr:rowOff>68696</xdr:rowOff>
    </xdr:from>
    <xdr:to>
      <xdr:col>6</xdr:col>
      <xdr:colOff>1635589</xdr:colOff>
      <xdr:row>4</xdr:row>
      <xdr:rowOff>163736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556" t="17556" r="17260" b="17088"/>
        <a:stretch/>
      </xdr:blipFill>
      <xdr:spPr>
        <a:xfrm>
          <a:off x="6484228" y="68696"/>
          <a:ext cx="1590261" cy="1228515"/>
        </a:xfrm>
        <a:prstGeom prst="rect">
          <a:avLst/>
        </a:prstGeom>
      </xdr:spPr>
    </xdr:pic>
    <xdr:clientData/>
  </xdr:twoCellAnchor>
  <xdr:twoCellAnchor>
    <xdr:from>
      <xdr:col>6</xdr:col>
      <xdr:colOff>45328</xdr:colOff>
      <xdr:row>0</xdr:row>
      <xdr:rowOff>68696</xdr:rowOff>
    </xdr:from>
    <xdr:to>
      <xdr:col>6</xdr:col>
      <xdr:colOff>1635589</xdr:colOff>
      <xdr:row>4</xdr:row>
      <xdr:rowOff>163736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0A00-000006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556" t="17556" r="17260" b="17088"/>
        <a:stretch/>
      </xdr:blipFill>
      <xdr:spPr>
        <a:xfrm>
          <a:off x="6484228" y="68696"/>
          <a:ext cx="1590261" cy="122851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64378</xdr:colOff>
      <xdr:row>0</xdr:row>
      <xdr:rowOff>43296</xdr:rowOff>
    </xdr:from>
    <xdr:to>
      <xdr:col>6</xdr:col>
      <xdr:colOff>1654639</xdr:colOff>
      <xdr:row>4</xdr:row>
      <xdr:rowOff>138336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556" t="17556" r="17260" b="17088"/>
        <a:stretch/>
      </xdr:blipFill>
      <xdr:spPr>
        <a:xfrm>
          <a:off x="5493628" y="43296"/>
          <a:ext cx="1590261" cy="1209465"/>
        </a:xfrm>
        <a:prstGeom prst="rect">
          <a:avLst/>
        </a:prstGeom>
      </xdr:spPr>
    </xdr:pic>
    <xdr:clientData/>
  </xdr:twoCellAnchor>
  <xdr:twoCellAnchor>
    <xdr:from>
      <xdr:col>6</xdr:col>
      <xdr:colOff>64378</xdr:colOff>
      <xdr:row>0</xdr:row>
      <xdr:rowOff>43296</xdr:rowOff>
    </xdr:from>
    <xdr:to>
      <xdr:col>6</xdr:col>
      <xdr:colOff>1654639</xdr:colOff>
      <xdr:row>4</xdr:row>
      <xdr:rowOff>138336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556" t="17556" r="17260" b="17088"/>
        <a:stretch/>
      </xdr:blipFill>
      <xdr:spPr>
        <a:xfrm>
          <a:off x="5493628" y="43296"/>
          <a:ext cx="1590261" cy="1228515"/>
        </a:xfrm>
        <a:prstGeom prst="rect">
          <a:avLst/>
        </a:prstGeom>
      </xdr:spPr>
    </xdr:pic>
    <xdr:clientData/>
  </xdr:twoCellAnchor>
  <xdr:twoCellAnchor>
    <xdr:from>
      <xdr:col>6</xdr:col>
      <xdr:colOff>64378</xdr:colOff>
      <xdr:row>0</xdr:row>
      <xdr:rowOff>43296</xdr:rowOff>
    </xdr:from>
    <xdr:to>
      <xdr:col>6</xdr:col>
      <xdr:colOff>1654639</xdr:colOff>
      <xdr:row>4</xdr:row>
      <xdr:rowOff>138336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556" t="17556" r="17260" b="17088"/>
        <a:stretch/>
      </xdr:blipFill>
      <xdr:spPr>
        <a:xfrm>
          <a:off x="5493628" y="43296"/>
          <a:ext cx="1590261" cy="1228515"/>
        </a:xfrm>
        <a:prstGeom prst="rect">
          <a:avLst/>
        </a:prstGeom>
      </xdr:spPr>
    </xdr:pic>
    <xdr:clientData/>
  </xdr:twoCellAnchor>
  <xdr:twoCellAnchor>
    <xdr:from>
      <xdr:col>6</xdr:col>
      <xdr:colOff>45328</xdr:colOff>
      <xdr:row>0</xdr:row>
      <xdr:rowOff>68696</xdr:rowOff>
    </xdr:from>
    <xdr:to>
      <xdr:col>6</xdr:col>
      <xdr:colOff>1635589</xdr:colOff>
      <xdr:row>4</xdr:row>
      <xdr:rowOff>163736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B00-000005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556" t="17556" r="17260" b="17088"/>
        <a:stretch/>
      </xdr:blipFill>
      <xdr:spPr>
        <a:xfrm>
          <a:off x="5474578" y="68696"/>
          <a:ext cx="1590261" cy="1228515"/>
        </a:xfrm>
        <a:prstGeom prst="rect">
          <a:avLst/>
        </a:prstGeom>
      </xdr:spPr>
    </xdr:pic>
    <xdr:clientData/>
  </xdr:twoCellAnchor>
  <xdr:twoCellAnchor>
    <xdr:from>
      <xdr:col>6</xdr:col>
      <xdr:colOff>45328</xdr:colOff>
      <xdr:row>0</xdr:row>
      <xdr:rowOff>68696</xdr:rowOff>
    </xdr:from>
    <xdr:to>
      <xdr:col>6</xdr:col>
      <xdr:colOff>1635589</xdr:colOff>
      <xdr:row>4</xdr:row>
      <xdr:rowOff>163736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0B00-000006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556" t="17556" r="17260" b="17088"/>
        <a:stretch/>
      </xdr:blipFill>
      <xdr:spPr>
        <a:xfrm>
          <a:off x="5474578" y="68696"/>
          <a:ext cx="1590261" cy="122851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ntrol" Target="../activeX/activeX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3.xml"/><Relationship Id="rId4" Type="http://schemas.openxmlformats.org/officeDocument/2006/relationships/image" Target="../media/image2.emf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8F347-9711-4EC8-B7E1-20188FC23555}">
  <sheetPr codeName="Hoja10"/>
  <dimension ref="A1:H217"/>
  <sheetViews>
    <sheetView topLeftCell="A2" zoomScale="160" zoomScaleNormal="160" workbookViewId="0">
      <pane xSplit="7" ySplit="5" topLeftCell="H7" activePane="bottomRight" state="frozen"/>
      <selection activeCell="A2" sqref="A2"/>
      <selection pane="topRight" activeCell="H2" sqref="H2"/>
      <selection pane="bottomLeft" activeCell="A7" sqref="A7"/>
      <selection pane="bottomRight" activeCell="D22" sqref="D22"/>
    </sheetView>
  </sheetViews>
  <sheetFormatPr baseColWidth="10" defaultRowHeight="15" x14ac:dyDescent="0.25"/>
  <cols>
    <col min="1" max="1" width="4.28515625" style="6" bestFit="1" customWidth="1"/>
    <col min="2" max="2" width="12" style="6" customWidth="1"/>
    <col min="3" max="3" width="17.140625" style="6" customWidth="1"/>
    <col min="4" max="4" width="29.140625" style="6" bestFit="1" customWidth="1"/>
    <col min="5" max="5" width="15" style="16" customWidth="1"/>
    <col min="6" max="6" width="14.42578125" style="16" customWidth="1"/>
    <col min="7" max="7" width="26" style="16" customWidth="1"/>
  </cols>
  <sheetData>
    <row r="1" spans="1:7" ht="15" customHeight="1" x14ac:dyDescent="0.25">
      <c r="A1" s="36" t="s">
        <v>8</v>
      </c>
      <c r="B1" s="37"/>
      <c r="C1" s="37"/>
      <c r="D1" s="37"/>
      <c r="E1" s="37"/>
      <c r="F1" s="38"/>
      <c r="G1" s="42"/>
    </row>
    <row r="2" spans="1:7" ht="39" customHeight="1" thickBot="1" x14ac:dyDescent="0.3">
      <c r="A2" s="39"/>
      <c r="B2" s="40"/>
      <c r="C2" s="40"/>
      <c r="D2" s="40"/>
      <c r="E2" s="40"/>
      <c r="F2" s="41"/>
      <c r="G2" s="43"/>
    </row>
    <row r="3" spans="1:7" ht="19.5" thickTop="1" thickBot="1" x14ac:dyDescent="0.3">
      <c r="A3" s="45" t="s">
        <v>24</v>
      </c>
      <c r="B3" s="46"/>
      <c r="C3" s="47"/>
      <c r="D3" s="7"/>
      <c r="E3" s="8"/>
      <c r="F3" s="17"/>
      <c r="G3" s="43"/>
    </row>
    <row r="4" spans="1:7" ht="15.75" thickTop="1" x14ac:dyDescent="0.25">
      <c r="A4" s="48"/>
      <c r="B4" s="48"/>
      <c r="C4" s="48"/>
      <c r="D4" s="3"/>
      <c r="E4" s="3"/>
      <c r="F4" s="3"/>
      <c r="G4" s="43"/>
    </row>
    <row r="5" spans="1:7" ht="15.75" thickBot="1" x14ac:dyDescent="0.3">
      <c r="A5" s="49" t="s">
        <v>6</v>
      </c>
      <c r="B5" s="50"/>
      <c r="C5" s="51"/>
      <c r="D5" s="10" t="s">
        <v>96</v>
      </c>
      <c r="E5" s="11" t="s">
        <v>23</v>
      </c>
      <c r="F5" s="14" t="s">
        <v>42</v>
      </c>
      <c r="G5" s="44"/>
    </row>
    <row r="6" spans="1:7" ht="27.75" customHeight="1" thickBot="1" x14ac:dyDescent="0.3">
      <c r="A6" s="12" t="s">
        <v>5</v>
      </c>
      <c r="B6" s="13" t="s">
        <v>0</v>
      </c>
      <c r="C6" s="13" t="s">
        <v>1</v>
      </c>
      <c r="D6" s="13" t="s">
        <v>2</v>
      </c>
      <c r="E6" s="13" t="s">
        <v>14</v>
      </c>
      <c r="F6" s="13" t="s">
        <v>3</v>
      </c>
      <c r="G6" s="15" t="s">
        <v>4</v>
      </c>
    </row>
    <row r="7" spans="1:7" s="29" customFormat="1" ht="12.75" x14ac:dyDescent="0.2">
      <c r="A7" s="21"/>
      <c r="B7" s="21"/>
      <c r="C7" s="21" t="s">
        <v>227</v>
      </c>
      <c r="D7" s="21" t="s">
        <v>223</v>
      </c>
      <c r="E7" s="28"/>
      <c r="F7" s="28"/>
      <c r="G7" s="28" t="s">
        <v>253</v>
      </c>
    </row>
    <row r="8" spans="1:7" s="29" customFormat="1" ht="12.75" x14ac:dyDescent="0.2">
      <c r="A8" s="21"/>
      <c r="B8" s="21"/>
      <c r="C8" s="21" t="s">
        <v>227</v>
      </c>
      <c r="D8" s="21" t="s">
        <v>224</v>
      </c>
      <c r="E8" s="28"/>
      <c r="F8" s="28"/>
      <c r="G8" s="28">
        <v>280</v>
      </c>
    </row>
    <row r="9" spans="1:7" s="29" customFormat="1" ht="12.75" x14ac:dyDescent="0.2">
      <c r="A9" s="21"/>
      <c r="B9" s="21"/>
      <c r="C9" s="21" t="s">
        <v>227</v>
      </c>
      <c r="D9" s="21" t="s">
        <v>225</v>
      </c>
      <c r="E9" s="28"/>
      <c r="F9" s="28" t="s">
        <v>489</v>
      </c>
      <c r="G9" s="28">
        <v>260</v>
      </c>
    </row>
    <row r="10" spans="1:7" s="29" customFormat="1" ht="12.75" x14ac:dyDescent="0.2">
      <c r="A10" s="21"/>
      <c r="B10" s="21"/>
      <c r="C10" s="21" t="s">
        <v>227</v>
      </c>
      <c r="D10" s="21" t="s">
        <v>226</v>
      </c>
      <c r="E10" s="28"/>
      <c r="F10" s="28">
        <v>25</v>
      </c>
      <c r="G10" s="28"/>
    </row>
    <row r="11" spans="1:7" s="29" customFormat="1" ht="12.75" x14ac:dyDescent="0.2">
      <c r="A11" s="21"/>
      <c r="B11" s="21"/>
      <c r="C11" s="21" t="s">
        <v>227</v>
      </c>
      <c r="D11" s="21" t="s">
        <v>228</v>
      </c>
      <c r="E11" s="28"/>
      <c r="F11" s="28"/>
      <c r="G11" s="28">
        <v>260</v>
      </c>
    </row>
    <row r="12" spans="1:7" s="29" customFormat="1" ht="12.75" x14ac:dyDescent="0.2">
      <c r="A12" s="21"/>
      <c r="B12" s="21"/>
      <c r="C12" s="21" t="s">
        <v>231</v>
      </c>
      <c r="D12" s="21" t="s">
        <v>229</v>
      </c>
      <c r="E12" s="28"/>
      <c r="F12" s="28" t="s">
        <v>387</v>
      </c>
      <c r="G12" s="28">
        <v>400</v>
      </c>
    </row>
    <row r="13" spans="1:7" s="29" customFormat="1" ht="12.75" x14ac:dyDescent="0.2">
      <c r="A13" s="21"/>
      <c r="B13" s="21"/>
      <c r="C13" s="21" t="s">
        <v>232</v>
      </c>
      <c r="D13" s="21" t="s">
        <v>230</v>
      </c>
      <c r="E13" s="28"/>
      <c r="F13" s="28" t="s">
        <v>387</v>
      </c>
      <c r="G13" s="28">
        <v>400</v>
      </c>
    </row>
    <row r="14" spans="1:7" s="29" customFormat="1" ht="12.75" x14ac:dyDescent="0.2">
      <c r="A14" s="21"/>
      <c r="B14" s="21"/>
      <c r="C14" s="21" t="s">
        <v>298</v>
      </c>
      <c r="D14" s="21" t="s">
        <v>299</v>
      </c>
      <c r="E14" s="28">
        <v>24</v>
      </c>
      <c r="F14" s="28">
        <v>13</v>
      </c>
      <c r="G14" s="28" t="s">
        <v>599</v>
      </c>
    </row>
    <row r="15" spans="1:7" s="29" customFormat="1" ht="12.75" x14ac:dyDescent="0.2">
      <c r="A15" s="21"/>
      <c r="B15" s="21"/>
      <c r="C15" s="21"/>
      <c r="D15" s="21" t="s">
        <v>388</v>
      </c>
      <c r="E15" s="28"/>
      <c r="F15" s="28">
        <v>13</v>
      </c>
      <c r="G15" s="28"/>
    </row>
    <row r="16" spans="1:7" s="29" customFormat="1" ht="12.75" x14ac:dyDescent="0.2">
      <c r="A16" s="21"/>
      <c r="B16" s="21"/>
      <c r="C16" s="21"/>
      <c r="D16" s="21" t="s">
        <v>466</v>
      </c>
      <c r="E16" s="28"/>
      <c r="F16" s="28"/>
      <c r="G16" s="28"/>
    </row>
    <row r="17" spans="1:8" s="29" customFormat="1" ht="12.75" x14ac:dyDescent="0.2">
      <c r="A17" s="21"/>
      <c r="B17" s="21"/>
      <c r="C17" s="21"/>
      <c r="D17" s="21" t="s">
        <v>485</v>
      </c>
      <c r="E17" s="28"/>
      <c r="F17" s="28"/>
      <c r="G17" s="28">
        <v>135</v>
      </c>
    </row>
    <row r="18" spans="1:8" s="29" customFormat="1" ht="12.75" x14ac:dyDescent="0.2">
      <c r="A18" s="21"/>
      <c r="B18" s="21"/>
      <c r="C18" s="21"/>
      <c r="D18" s="21" t="s">
        <v>492</v>
      </c>
      <c r="E18" s="28"/>
      <c r="F18" s="28"/>
      <c r="G18" s="28">
        <v>190</v>
      </c>
    </row>
    <row r="19" spans="1:8" s="29" customFormat="1" ht="12.75" x14ac:dyDescent="0.2">
      <c r="A19" s="21"/>
      <c r="B19" s="21"/>
      <c r="C19" s="21"/>
      <c r="D19" s="21" t="s">
        <v>504</v>
      </c>
      <c r="E19" s="28">
        <v>24</v>
      </c>
      <c r="F19" s="28">
        <v>4</v>
      </c>
      <c r="G19" s="28">
        <v>95</v>
      </c>
    </row>
    <row r="20" spans="1:8" s="29" customFormat="1" ht="12.75" x14ac:dyDescent="0.2">
      <c r="A20" s="21"/>
      <c r="B20" s="21"/>
      <c r="C20" s="21"/>
      <c r="D20" s="21" t="s">
        <v>538</v>
      </c>
      <c r="E20" s="28"/>
      <c r="F20" s="28" t="s">
        <v>453</v>
      </c>
      <c r="G20" s="28">
        <v>13</v>
      </c>
      <c r="H20" s="29" t="s">
        <v>494</v>
      </c>
    </row>
    <row r="21" spans="1:8" s="29" customFormat="1" ht="12.75" x14ac:dyDescent="0.2">
      <c r="A21" s="21"/>
      <c r="B21" s="21"/>
      <c r="C21" s="21"/>
      <c r="D21" s="21" t="s">
        <v>577</v>
      </c>
      <c r="E21" s="28"/>
      <c r="F21" s="28"/>
      <c r="G21" s="28">
        <v>90</v>
      </c>
    </row>
    <row r="22" spans="1:8" s="29" customFormat="1" ht="12.75" x14ac:dyDescent="0.2">
      <c r="A22" s="21"/>
      <c r="B22" s="21"/>
      <c r="C22" s="21"/>
      <c r="D22" s="21" t="s">
        <v>583</v>
      </c>
      <c r="E22" s="28"/>
      <c r="F22" s="28"/>
      <c r="G22" s="28">
        <v>280</v>
      </c>
    </row>
    <row r="23" spans="1:8" s="29" customFormat="1" ht="12.75" x14ac:dyDescent="0.2">
      <c r="A23" s="21"/>
      <c r="B23" s="21"/>
      <c r="C23" s="21"/>
      <c r="D23" s="21"/>
      <c r="E23" s="28"/>
      <c r="F23" s="28"/>
      <c r="G23" s="28"/>
    </row>
    <row r="24" spans="1:8" s="29" customFormat="1" ht="12.75" x14ac:dyDescent="0.2">
      <c r="A24" s="21"/>
      <c r="B24" s="21"/>
      <c r="C24" s="21"/>
      <c r="D24" s="21"/>
      <c r="E24" s="28"/>
      <c r="F24" s="28"/>
      <c r="G24" s="28"/>
    </row>
    <row r="25" spans="1:8" s="29" customFormat="1" ht="12.75" x14ac:dyDescent="0.2">
      <c r="A25" s="21"/>
      <c r="B25" s="21"/>
      <c r="C25" s="21"/>
      <c r="D25" s="21"/>
      <c r="E25" s="28"/>
      <c r="F25" s="28"/>
      <c r="G25" s="28"/>
    </row>
    <row r="26" spans="1:8" s="29" customFormat="1" ht="12.75" x14ac:dyDescent="0.2">
      <c r="A26" s="21"/>
      <c r="B26" s="21"/>
      <c r="C26" s="21"/>
      <c r="D26" s="21"/>
      <c r="E26" s="28"/>
      <c r="F26" s="28"/>
      <c r="G26" s="28"/>
    </row>
    <row r="27" spans="1:8" s="29" customFormat="1" ht="12.75" x14ac:dyDescent="0.2">
      <c r="A27" s="21"/>
      <c r="B27" s="21"/>
      <c r="C27" s="21"/>
      <c r="D27" s="21"/>
      <c r="E27" s="28"/>
      <c r="F27" s="28"/>
      <c r="G27" s="28"/>
    </row>
    <row r="28" spans="1:8" s="29" customFormat="1" ht="12.75" x14ac:dyDescent="0.2">
      <c r="A28" s="21"/>
      <c r="B28" s="21"/>
      <c r="C28" s="21"/>
      <c r="D28" s="21"/>
      <c r="E28" s="28"/>
      <c r="F28" s="28"/>
      <c r="G28" s="28"/>
    </row>
    <row r="29" spans="1:8" s="29" customFormat="1" ht="12.75" x14ac:dyDescent="0.2">
      <c r="A29" s="21"/>
      <c r="B29" s="21"/>
      <c r="C29" s="21"/>
      <c r="D29" s="21"/>
      <c r="E29" s="28"/>
      <c r="F29" s="28"/>
      <c r="G29" s="28"/>
    </row>
    <row r="30" spans="1:8" s="29" customFormat="1" ht="12.75" x14ac:dyDescent="0.2">
      <c r="A30" s="21"/>
      <c r="B30" s="21"/>
      <c r="C30" s="21"/>
      <c r="D30" s="21"/>
      <c r="E30" s="28"/>
      <c r="F30" s="28"/>
      <c r="G30" s="28"/>
    </row>
    <row r="31" spans="1:8" s="29" customFormat="1" ht="12.75" x14ac:dyDescent="0.2">
      <c r="A31" s="21"/>
      <c r="B31" s="21"/>
      <c r="C31" s="21"/>
      <c r="D31" s="21"/>
      <c r="E31" s="28"/>
      <c r="F31" s="28"/>
      <c r="G31" s="28"/>
    </row>
    <row r="32" spans="1:8" s="29" customFormat="1" ht="12.75" x14ac:dyDescent="0.2">
      <c r="A32" s="21"/>
      <c r="B32" s="21"/>
      <c r="C32" s="21"/>
      <c r="D32" s="21"/>
      <c r="E32" s="28"/>
      <c r="F32" s="28"/>
      <c r="G32" s="28"/>
    </row>
    <row r="33" spans="1:7" s="29" customFormat="1" ht="12.75" x14ac:dyDescent="0.2">
      <c r="A33" s="21"/>
      <c r="B33" s="21"/>
      <c r="C33" s="21"/>
      <c r="D33" s="21"/>
      <c r="E33" s="28"/>
      <c r="F33" s="28"/>
      <c r="G33" s="28"/>
    </row>
    <row r="34" spans="1:7" s="29" customFormat="1" ht="12.75" x14ac:dyDescent="0.2">
      <c r="A34" s="21"/>
      <c r="B34" s="21"/>
      <c r="C34" s="21"/>
      <c r="D34" s="21"/>
      <c r="E34" s="28"/>
      <c r="F34" s="28"/>
      <c r="G34" s="28"/>
    </row>
    <row r="35" spans="1:7" s="29" customFormat="1" ht="12.75" x14ac:dyDescent="0.2">
      <c r="A35" s="21"/>
      <c r="B35" s="21"/>
      <c r="C35" s="21"/>
      <c r="D35" s="21"/>
      <c r="E35" s="28"/>
      <c r="F35" s="28"/>
      <c r="G35" s="28"/>
    </row>
    <row r="36" spans="1:7" s="29" customFormat="1" ht="12.75" x14ac:dyDescent="0.2">
      <c r="A36" s="21"/>
      <c r="B36" s="21"/>
      <c r="C36" s="21"/>
      <c r="D36" s="21"/>
      <c r="E36" s="28"/>
      <c r="F36" s="28"/>
      <c r="G36" s="28"/>
    </row>
    <row r="37" spans="1:7" s="29" customFormat="1" ht="12.75" x14ac:dyDescent="0.2">
      <c r="A37" s="21"/>
      <c r="B37" s="21"/>
      <c r="C37" s="21"/>
      <c r="D37" s="21"/>
      <c r="E37" s="28"/>
      <c r="F37" s="28"/>
      <c r="G37" s="28"/>
    </row>
    <row r="38" spans="1:7" s="29" customFormat="1" ht="12.75" x14ac:dyDescent="0.2">
      <c r="A38" s="21"/>
      <c r="B38" s="21"/>
      <c r="C38" s="21"/>
      <c r="D38" s="21"/>
      <c r="E38" s="28"/>
      <c r="F38" s="28"/>
      <c r="G38" s="28"/>
    </row>
    <row r="39" spans="1:7" s="29" customFormat="1" ht="12.75" x14ac:dyDescent="0.2">
      <c r="A39" s="21"/>
      <c r="B39" s="21"/>
      <c r="C39" s="21"/>
      <c r="D39" s="21"/>
      <c r="E39" s="28"/>
      <c r="F39" s="28"/>
      <c r="G39" s="28"/>
    </row>
    <row r="40" spans="1:7" s="29" customFormat="1" ht="12.75" x14ac:dyDescent="0.2">
      <c r="A40" s="21"/>
      <c r="B40" s="21"/>
      <c r="C40" s="21"/>
      <c r="D40" s="21"/>
      <c r="E40" s="28"/>
      <c r="F40" s="28"/>
      <c r="G40" s="28"/>
    </row>
    <row r="41" spans="1:7" s="29" customFormat="1" ht="12.75" x14ac:dyDescent="0.2">
      <c r="A41" s="21"/>
      <c r="B41" s="21"/>
      <c r="C41" s="21"/>
      <c r="D41" s="21"/>
      <c r="E41" s="28"/>
      <c r="F41" s="28"/>
      <c r="G41" s="28"/>
    </row>
    <row r="42" spans="1:7" s="29" customFormat="1" ht="12.75" x14ac:dyDescent="0.2">
      <c r="A42" s="21"/>
      <c r="B42" s="21"/>
      <c r="C42" s="21"/>
      <c r="D42" s="21"/>
      <c r="E42" s="28"/>
      <c r="F42" s="28"/>
      <c r="G42" s="28"/>
    </row>
    <row r="43" spans="1:7" s="29" customFormat="1" ht="12.75" x14ac:dyDescent="0.2">
      <c r="A43" s="21"/>
      <c r="B43" s="21"/>
      <c r="C43" s="21"/>
      <c r="D43" s="21"/>
      <c r="E43" s="28"/>
      <c r="F43" s="28"/>
      <c r="G43" s="28"/>
    </row>
    <row r="44" spans="1:7" s="29" customFormat="1" ht="12.75" x14ac:dyDescent="0.2">
      <c r="A44" s="21"/>
      <c r="B44" s="21"/>
      <c r="C44" s="21"/>
      <c r="D44" s="21"/>
      <c r="E44" s="28"/>
      <c r="F44" s="28"/>
      <c r="G44" s="28"/>
    </row>
    <row r="45" spans="1:7" s="29" customFormat="1" ht="12.75" x14ac:dyDescent="0.2">
      <c r="A45" s="21"/>
      <c r="B45" s="21"/>
      <c r="C45" s="21"/>
      <c r="D45" s="21"/>
      <c r="E45" s="28"/>
      <c r="F45" s="28"/>
      <c r="G45" s="28"/>
    </row>
    <row r="46" spans="1:7" s="29" customFormat="1" ht="12.75" x14ac:dyDescent="0.2">
      <c r="A46" s="21"/>
      <c r="B46" s="21"/>
      <c r="C46" s="21"/>
      <c r="D46" s="21"/>
      <c r="E46" s="28"/>
      <c r="F46" s="28"/>
      <c r="G46" s="28"/>
    </row>
    <row r="47" spans="1:7" s="29" customFormat="1" ht="12.75" x14ac:dyDescent="0.2">
      <c r="A47" s="21"/>
      <c r="B47" s="21"/>
      <c r="C47" s="21"/>
      <c r="D47" s="21"/>
      <c r="E47" s="28"/>
      <c r="F47" s="28"/>
      <c r="G47" s="28"/>
    </row>
    <row r="48" spans="1:7" s="29" customFormat="1" ht="12.75" x14ac:dyDescent="0.2">
      <c r="A48" s="21"/>
      <c r="B48" s="21"/>
      <c r="C48" s="21"/>
      <c r="D48" s="21"/>
      <c r="E48" s="28"/>
      <c r="F48" s="28"/>
      <c r="G48" s="28"/>
    </row>
    <row r="49" spans="1:7" s="29" customFormat="1" ht="12.75" x14ac:dyDescent="0.2">
      <c r="A49" s="21"/>
      <c r="B49" s="21"/>
      <c r="C49" s="21"/>
      <c r="D49" s="21"/>
      <c r="E49" s="28"/>
      <c r="F49" s="28"/>
      <c r="G49" s="28"/>
    </row>
    <row r="50" spans="1:7" s="29" customFormat="1" ht="12.75" x14ac:dyDescent="0.2">
      <c r="A50" s="21"/>
      <c r="B50" s="21"/>
      <c r="C50" s="21"/>
      <c r="D50" s="21"/>
      <c r="E50" s="28"/>
      <c r="F50" s="28"/>
      <c r="G50" s="28"/>
    </row>
    <row r="51" spans="1:7" s="29" customFormat="1" ht="12.75" x14ac:dyDescent="0.2">
      <c r="A51" s="21"/>
      <c r="B51" s="21"/>
      <c r="C51" s="21"/>
      <c r="D51" s="21"/>
      <c r="E51" s="28"/>
      <c r="F51" s="28"/>
      <c r="G51" s="28"/>
    </row>
    <row r="52" spans="1:7" s="29" customFormat="1" ht="12.75" x14ac:dyDescent="0.2">
      <c r="A52" s="21"/>
      <c r="B52" s="21"/>
      <c r="C52" s="21"/>
      <c r="D52" s="21"/>
      <c r="E52" s="28"/>
      <c r="F52" s="28"/>
      <c r="G52" s="28"/>
    </row>
    <row r="53" spans="1:7" s="29" customFormat="1" ht="12.75" x14ac:dyDescent="0.2">
      <c r="A53" s="21"/>
      <c r="B53" s="21"/>
      <c r="C53" s="21"/>
      <c r="D53" s="21"/>
      <c r="E53" s="28"/>
      <c r="F53" s="28"/>
      <c r="G53" s="28"/>
    </row>
    <row r="54" spans="1:7" s="29" customFormat="1" ht="12.75" x14ac:dyDescent="0.2">
      <c r="A54" s="21"/>
      <c r="B54" s="21"/>
      <c r="C54" s="21"/>
      <c r="D54" s="21"/>
      <c r="E54" s="28"/>
      <c r="F54" s="28"/>
      <c r="G54" s="28"/>
    </row>
    <row r="55" spans="1:7" s="29" customFormat="1" ht="12.75" x14ac:dyDescent="0.2">
      <c r="A55" s="21"/>
      <c r="B55" s="21"/>
      <c r="C55" s="21"/>
      <c r="D55" s="21"/>
      <c r="E55" s="28"/>
      <c r="F55" s="28"/>
      <c r="G55" s="28"/>
    </row>
    <row r="56" spans="1:7" s="29" customFormat="1" ht="12.75" x14ac:dyDescent="0.2">
      <c r="A56" s="21"/>
      <c r="B56" s="21"/>
      <c r="C56" s="21"/>
      <c r="D56" s="21"/>
      <c r="E56" s="28"/>
      <c r="F56" s="28"/>
      <c r="G56" s="28"/>
    </row>
    <row r="57" spans="1:7" s="29" customFormat="1" ht="12.75" x14ac:dyDescent="0.2">
      <c r="A57" s="21"/>
      <c r="B57" s="21"/>
      <c r="C57" s="21"/>
      <c r="D57" s="21"/>
      <c r="E57" s="28"/>
      <c r="F57" s="28"/>
      <c r="G57" s="28"/>
    </row>
    <row r="58" spans="1:7" s="29" customFormat="1" ht="12.75" x14ac:dyDescent="0.2">
      <c r="A58" s="21"/>
      <c r="B58" s="21"/>
      <c r="C58" s="21"/>
      <c r="D58" s="21"/>
      <c r="E58" s="28"/>
      <c r="F58" s="28"/>
      <c r="G58" s="28"/>
    </row>
    <row r="59" spans="1:7" s="29" customFormat="1" ht="12.75" x14ac:dyDescent="0.2">
      <c r="A59" s="21"/>
      <c r="B59" s="21"/>
      <c r="C59" s="21"/>
      <c r="D59" s="21"/>
      <c r="E59" s="28"/>
      <c r="F59" s="28"/>
      <c r="G59" s="28"/>
    </row>
    <row r="60" spans="1:7" s="29" customFormat="1" ht="12.75" x14ac:dyDescent="0.2">
      <c r="A60" s="21"/>
      <c r="B60" s="21"/>
      <c r="C60" s="21"/>
      <c r="D60" s="21"/>
      <c r="E60" s="28"/>
      <c r="F60" s="28"/>
      <c r="G60" s="28"/>
    </row>
    <row r="61" spans="1:7" s="29" customFormat="1" ht="12.75" x14ac:dyDescent="0.2">
      <c r="A61" s="21"/>
      <c r="B61" s="21"/>
      <c r="C61" s="21"/>
      <c r="D61" s="21"/>
      <c r="E61" s="28"/>
      <c r="F61" s="28"/>
      <c r="G61" s="28"/>
    </row>
    <row r="62" spans="1:7" s="29" customFormat="1" ht="12.75" x14ac:dyDescent="0.2">
      <c r="A62" s="21"/>
      <c r="B62" s="21"/>
      <c r="C62" s="21"/>
      <c r="D62" s="21"/>
      <c r="E62" s="28"/>
      <c r="F62" s="28"/>
      <c r="G62" s="28"/>
    </row>
    <row r="63" spans="1:7" s="29" customFormat="1" ht="12.75" x14ac:dyDescent="0.2">
      <c r="A63" s="21"/>
      <c r="B63" s="21"/>
      <c r="C63" s="21"/>
      <c r="D63" s="21"/>
      <c r="E63" s="28"/>
      <c r="F63" s="28"/>
      <c r="G63" s="28"/>
    </row>
    <row r="64" spans="1:7" s="29" customFormat="1" ht="12.75" x14ac:dyDescent="0.2">
      <c r="A64" s="21"/>
      <c r="B64" s="21"/>
      <c r="C64" s="21"/>
      <c r="D64" s="21"/>
      <c r="E64" s="28"/>
      <c r="F64" s="28"/>
      <c r="G64" s="28"/>
    </row>
    <row r="65" spans="1:7" s="29" customFormat="1" ht="12.75" x14ac:dyDescent="0.2">
      <c r="A65" s="21"/>
      <c r="B65" s="21"/>
      <c r="C65" s="21"/>
      <c r="D65" s="21"/>
      <c r="E65" s="28"/>
      <c r="F65" s="28"/>
      <c r="G65" s="28"/>
    </row>
    <row r="66" spans="1:7" s="29" customFormat="1" ht="12.75" x14ac:dyDescent="0.2">
      <c r="A66" s="21"/>
      <c r="B66" s="21"/>
      <c r="C66" s="21"/>
      <c r="D66" s="21"/>
      <c r="E66" s="28"/>
      <c r="F66" s="28"/>
      <c r="G66" s="28"/>
    </row>
    <row r="67" spans="1:7" s="29" customFormat="1" ht="12.75" x14ac:dyDescent="0.2">
      <c r="A67" s="21"/>
      <c r="B67" s="21"/>
      <c r="C67" s="21"/>
      <c r="D67" s="21"/>
      <c r="E67" s="28"/>
      <c r="F67" s="28"/>
      <c r="G67" s="28"/>
    </row>
    <row r="68" spans="1:7" s="29" customFormat="1" ht="12.75" x14ac:dyDescent="0.2">
      <c r="A68" s="21"/>
      <c r="B68" s="21"/>
      <c r="C68" s="21"/>
      <c r="D68" s="21"/>
      <c r="E68" s="28"/>
      <c r="F68" s="28"/>
      <c r="G68" s="28"/>
    </row>
    <row r="69" spans="1:7" s="29" customFormat="1" ht="12.75" x14ac:dyDescent="0.2">
      <c r="A69" s="21"/>
      <c r="B69" s="21"/>
      <c r="C69" s="21"/>
      <c r="D69" s="21"/>
      <c r="E69" s="28"/>
      <c r="F69" s="28"/>
      <c r="G69" s="28"/>
    </row>
    <row r="70" spans="1:7" s="29" customFormat="1" ht="12.75" x14ac:dyDescent="0.2">
      <c r="A70" s="21"/>
      <c r="B70" s="21"/>
      <c r="C70" s="21"/>
      <c r="D70" s="21"/>
      <c r="E70" s="28"/>
      <c r="F70" s="28"/>
      <c r="G70" s="28"/>
    </row>
    <row r="71" spans="1:7" s="29" customFormat="1" ht="12.75" x14ac:dyDescent="0.2">
      <c r="A71" s="21"/>
      <c r="B71" s="21"/>
      <c r="C71" s="21"/>
      <c r="D71" s="21"/>
      <c r="E71" s="28"/>
      <c r="F71" s="28"/>
      <c r="G71" s="28"/>
    </row>
    <row r="72" spans="1:7" s="29" customFormat="1" ht="12.75" x14ac:dyDescent="0.2">
      <c r="A72" s="21"/>
      <c r="B72" s="21"/>
      <c r="C72" s="21"/>
      <c r="D72" s="21"/>
      <c r="E72" s="28"/>
      <c r="F72" s="28"/>
      <c r="G72" s="28"/>
    </row>
    <row r="73" spans="1:7" s="29" customFormat="1" ht="12.75" x14ac:dyDescent="0.2">
      <c r="A73" s="21"/>
      <c r="B73" s="21"/>
      <c r="C73" s="21"/>
      <c r="D73" s="21"/>
      <c r="E73" s="28"/>
      <c r="F73" s="28"/>
      <c r="G73" s="28"/>
    </row>
    <row r="74" spans="1:7" s="29" customFormat="1" ht="12.75" x14ac:dyDescent="0.2">
      <c r="A74" s="21"/>
      <c r="B74" s="21"/>
      <c r="C74" s="21"/>
      <c r="D74" s="21"/>
      <c r="E74" s="28"/>
      <c r="F74" s="28"/>
      <c r="G74" s="28"/>
    </row>
    <row r="75" spans="1:7" s="29" customFormat="1" ht="12.75" x14ac:dyDescent="0.2">
      <c r="A75" s="21"/>
      <c r="B75" s="21"/>
      <c r="C75" s="21"/>
      <c r="D75" s="21"/>
      <c r="E75" s="28"/>
      <c r="F75" s="28"/>
      <c r="G75" s="28"/>
    </row>
    <row r="76" spans="1:7" s="29" customFormat="1" ht="12.75" x14ac:dyDescent="0.2">
      <c r="A76" s="21"/>
      <c r="B76" s="21"/>
      <c r="C76" s="21"/>
      <c r="D76" s="21"/>
      <c r="E76" s="28"/>
      <c r="F76" s="28"/>
      <c r="G76" s="28"/>
    </row>
    <row r="77" spans="1:7" s="29" customFormat="1" ht="12.75" x14ac:dyDescent="0.2">
      <c r="A77" s="21"/>
      <c r="B77" s="21"/>
      <c r="C77" s="21"/>
      <c r="D77" s="21"/>
      <c r="E77" s="28"/>
      <c r="F77" s="28"/>
      <c r="G77" s="28"/>
    </row>
    <row r="78" spans="1:7" s="29" customFormat="1" ht="12.75" x14ac:dyDescent="0.2">
      <c r="A78" s="21"/>
      <c r="B78" s="21"/>
      <c r="C78" s="21"/>
      <c r="D78" s="21"/>
      <c r="E78" s="28"/>
      <c r="F78" s="28"/>
      <c r="G78" s="28"/>
    </row>
    <row r="79" spans="1:7" s="29" customFormat="1" ht="12.75" x14ac:dyDescent="0.2">
      <c r="A79" s="21"/>
      <c r="B79" s="21"/>
      <c r="C79" s="21"/>
      <c r="D79" s="21"/>
      <c r="E79" s="28"/>
      <c r="F79" s="28"/>
      <c r="G79" s="28"/>
    </row>
    <row r="80" spans="1:7" s="29" customFormat="1" ht="12.75" x14ac:dyDescent="0.2">
      <c r="A80" s="21"/>
      <c r="B80" s="21"/>
      <c r="C80" s="21"/>
      <c r="D80" s="21"/>
      <c r="E80" s="28"/>
      <c r="F80" s="28"/>
      <c r="G80" s="28"/>
    </row>
    <row r="81" spans="1:7" s="29" customFormat="1" ht="12.75" x14ac:dyDescent="0.2">
      <c r="A81" s="21"/>
      <c r="B81" s="21"/>
      <c r="C81" s="21"/>
      <c r="D81" s="21"/>
      <c r="E81" s="28"/>
      <c r="F81" s="28"/>
      <c r="G81" s="28"/>
    </row>
    <row r="82" spans="1:7" s="29" customFormat="1" ht="12.75" x14ac:dyDescent="0.2">
      <c r="A82" s="21"/>
      <c r="B82" s="21"/>
      <c r="C82" s="21"/>
      <c r="D82" s="21"/>
      <c r="E82" s="28"/>
      <c r="F82" s="28"/>
      <c r="G82" s="28"/>
    </row>
    <row r="83" spans="1:7" s="29" customFormat="1" ht="12.75" x14ac:dyDescent="0.2">
      <c r="A83" s="21"/>
      <c r="B83" s="21"/>
      <c r="C83" s="21"/>
      <c r="D83" s="21"/>
      <c r="E83" s="28"/>
      <c r="F83" s="28"/>
      <c r="G83" s="28"/>
    </row>
    <row r="84" spans="1:7" s="29" customFormat="1" ht="12.75" x14ac:dyDescent="0.2">
      <c r="A84" s="21"/>
      <c r="B84" s="21"/>
      <c r="C84" s="21"/>
      <c r="D84" s="21"/>
      <c r="E84" s="28"/>
      <c r="F84" s="28"/>
      <c r="G84" s="28"/>
    </row>
    <row r="85" spans="1:7" s="29" customFormat="1" ht="12.75" x14ac:dyDescent="0.2">
      <c r="A85" s="21"/>
      <c r="B85" s="21"/>
      <c r="C85" s="21"/>
      <c r="D85" s="21"/>
      <c r="E85" s="28"/>
      <c r="F85" s="28"/>
      <c r="G85" s="28"/>
    </row>
    <row r="86" spans="1:7" s="29" customFormat="1" ht="12.75" x14ac:dyDescent="0.2">
      <c r="A86" s="21"/>
      <c r="B86" s="21"/>
      <c r="C86" s="21"/>
      <c r="D86" s="21"/>
      <c r="E86" s="28"/>
      <c r="F86" s="28"/>
      <c r="G86" s="28"/>
    </row>
    <row r="87" spans="1:7" s="29" customFormat="1" ht="12.75" x14ac:dyDescent="0.2">
      <c r="A87" s="21"/>
      <c r="B87" s="21"/>
      <c r="C87" s="21"/>
      <c r="D87" s="21"/>
      <c r="E87" s="28"/>
      <c r="F87" s="28"/>
      <c r="G87" s="28"/>
    </row>
    <row r="88" spans="1:7" s="29" customFormat="1" ht="12.75" x14ac:dyDescent="0.2">
      <c r="A88" s="21"/>
      <c r="B88" s="21"/>
      <c r="C88" s="21"/>
      <c r="D88" s="21"/>
      <c r="E88" s="28"/>
      <c r="F88" s="28"/>
      <c r="G88" s="28"/>
    </row>
    <row r="89" spans="1:7" s="29" customFormat="1" ht="12.75" x14ac:dyDescent="0.2">
      <c r="A89" s="21"/>
      <c r="B89" s="21"/>
      <c r="C89" s="21"/>
      <c r="D89" s="21"/>
      <c r="E89" s="28"/>
      <c r="F89" s="28"/>
      <c r="G89" s="28"/>
    </row>
    <row r="90" spans="1:7" s="29" customFormat="1" ht="12.75" x14ac:dyDescent="0.2">
      <c r="A90" s="21"/>
      <c r="B90" s="21"/>
      <c r="C90" s="21"/>
      <c r="D90" s="21"/>
      <c r="E90" s="28"/>
      <c r="F90" s="28"/>
      <c r="G90" s="28"/>
    </row>
    <row r="91" spans="1:7" s="29" customFormat="1" ht="12.75" x14ac:dyDescent="0.2">
      <c r="A91" s="21"/>
      <c r="B91" s="21"/>
      <c r="C91" s="21"/>
      <c r="D91" s="21"/>
      <c r="E91" s="28"/>
      <c r="F91" s="28"/>
      <c r="G91" s="28"/>
    </row>
    <row r="92" spans="1:7" s="29" customFormat="1" ht="12.75" x14ac:dyDescent="0.2">
      <c r="A92" s="21"/>
      <c r="B92" s="21"/>
      <c r="C92" s="21"/>
      <c r="D92" s="21"/>
      <c r="E92" s="28"/>
      <c r="F92" s="28"/>
      <c r="G92" s="28"/>
    </row>
    <row r="93" spans="1:7" s="29" customFormat="1" ht="12.75" x14ac:dyDescent="0.2">
      <c r="A93" s="21"/>
      <c r="B93" s="21"/>
      <c r="C93" s="21"/>
      <c r="D93" s="21"/>
      <c r="E93" s="28"/>
      <c r="F93" s="28"/>
      <c r="G93" s="28"/>
    </row>
    <row r="94" spans="1:7" s="29" customFormat="1" ht="12.75" x14ac:dyDescent="0.2">
      <c r="A94" s="21"/>
      <c r="B94" s="21"/>
      <c r="C94" s="21"/>
      <c r="D94" s="21"/>
      <c r="E94" s="28"/>
      <c r="F94" s="28"/>
      <c r="G94" s="28"/>
    </row>
    <row r="95" spans="1:7" s="29" customFormat="1" ht="12.75" x14ac:dyDescent="0.2">
      <c r="A95" s="21"/>
      <c r="B95" s="21"/>
      <c r="C95" s="21"/>
      <c r="D95" s="21"/>
      <c r="E95" s="28"/>
      <c r="F95" s="28"/>
      <c r="G95" s="28"/>
    </row>
    <row r="96" spans="1:7" s="29" customFormat="1" ht="12.75" x14ac:dyDescent="0.2">
      <c r="A96" s="21"/>
      <c r="B96" s="21"/>
      <c r="C96" s="21"/>
      <c r="D96" s="21"/>
      <c r="E96" s="28"/>
      <c r="F96" s="28"/>
      <c r="G96" s="28"/>
    </row>
    <row r="97" spans="1:7" s="29" customFormat="1" ht="12.75" x14ac:dyDescent="0.2">
      <c r="A97" s="21"/>
      <c r="B97" s="21"/>
      <c r="C97" s="21"/>
      <c r="D97" s="21"/>
      <c r="E97" s="28"/>
      <c r="F97" s="28"/>
      <c r="G97" s="28"/>
    </row>
    <row r="98" spans="1:7" s="29" customFormat="1" ht="12.75" x14ac:dyDescent="0.2">
      <c r="A98" s="21"/>
      <c r="B98" s="21"/>
      <c r="C98" s="21"/>
      <c r="D98" s="21"/>
      <c r="E98" s="28"/>
      <c r="F98" s="28"/>
      <c r="G98" s="28"/>
    </row>
    <row r="99" spans="1:7" s="29" customFormat="1" ht="12.75" x14ac:dyDescent="0.2">
      <c r="A99" s="21"/>
      <c r="B99" s="21"/>
      <c r="C99" s="21"/>
      <c r="D99" s="21"/>
      <c r="E99" s="28"/>
      <c r="F99" s="28"/>
      <c r="G99" s="28"/>
    </row>
    <row r="100" spans="1:7" s="29" customFormat="1" ht="12.75" x14ac:dyDescent="0.2">
      <c r="A100" s="21"/>
      <c r="B100" s="21"/>
      <c r="C100" s="21"/>
      <c r="D100" s="21"/>
      <c r="E100" s="28"/>
      <c r="F100" s="28"/>
      <c r="G100" s="28"/>
    </row>
    <row r="101" spans="1:7" s="29" customFormat="1" ht="12.75" x14ac:dyDescent="0.2">
      <c r="A101" s="21"/>
      <c r="B101" s="21"/>
      <c r="C101" s="21"/>
      <c r="D101" s="21"/>
      <c r="E101" s="28"/>
      <c r="F101" s="28"/>
      <c r="G101" s="28"/>
    </row>
    <row r="102" spans="1:7" s="29" customFormat="1" ht="12.75" x14ac:dyDescent="0.2">
      <c r="A102" s="21"/>
      <c r="B102" s="21"/>
      <c r="C102" s="21"/>
      <c r="D102" s="21"/>
      <c r="E102" s="28"/>
      <c r="F102" s="28"/>
      <c r="G102" s="28"/>
    </row>
    <row r="103" spans="1:7" s="29" customFormat="1" ht="12.75" x14ac:dyDescent="0.2">
      <c r="A103" s="21"/>
      <c r="B103" s="21"/>
      <c r="C103" s="21"/>
      <c r="D103" s="21"/>
      <c r="E103" s="28"/>
      <c r="F103" s="28"/>
      <c r="G103" s="28"/>
    </row>
    <row r="104" spans="1:7" s="29" customFormat="1" ht="12.75" x14ac:dyDescent="0.2">
      <c r="A104" s="21"/>
      <c r="B104" s="21"/>
      <c r="C104" s="21"/>
      <c r="D104" s="21"/>
      <c r="E104" s="28"/>
      <c r="F104" s="28"/>
      <c r="G104" s="28"/>
    </row>
    <row r="105" spans="1:7" s="29" customFormat="1" ht="12.75" x14ac:dyDescent="0.2">
      <c r="A105" s="21"/>
      <c r="B105" s="21"/>
      <c r="C105" s="21"/>
      <c r="D105" s="21"/>
      <c r="E105" s="28"/>
      <c r="F105" s="28"/>
      <c r="G105" s="28"/>
    </row>
    <row r="106" spans="1:7" s="29" customFormat="1" ht="12.75" x14ac:dyDescent="0.2">
      <c r="A106" s="21"/>
      <c r="B106" s="21"/>
      <c r="C106" s="21"/>
      <c r="D106" s="21"/>
      <c r="E106" s="28"/>
      <c r="F106" s="28"/>
      <c r="G106" s="28"/>
    </row>
    <row r="107" spans="1:7" s="29" customFormat="1" ht="12.75" x14ac:dyDescent="0.2">
      <c r="A107" s="21"/>
      <c r="B107" s="21"/>
      <c r="C107" s="21"/>
      <c r="D107" s="21"/>
      <c r="E107" s="28"/>
      <c r="F107" s="28"/>
      <c r="G107" s="28"/>
    </row>
    <row r="108" spans="1:7" s="29" customFormat="1" ht="12.75" x14ac:dyDescent="0.2">
      <c r="A108" s="21"/>
      <c r="B108" s="21"/>
      <c r="C108" s="21"/>
      <c r="D108" s="21"/>
      <c r="E108" s="28"/>
      <c r="F108" s="28"/>
      <c r="G108" s="28"/>
    </row>
    <row r="109" spans="1:7" s="29" customFormat="1" ht="12.75" x14ac:dyDescent="0.2">
      <c r="A109" s="21"/>
      <c r="B109" s="21"/>
      <c r="C109" s="21"/>
      <c r="D109" s="21"/>
      <c r="E109" s="28"/>
      <c r="F109" s="28"/>
      <c r="G109" s="28"/>
    </row>
    <row r="110" spans="1:7" s="29" customFormat="1" ht="12.75" x14ac:dyDescent="0.2">
      <c r="A110" s="21"/>
      <c r="B110" s="21"/>
      <c r="C110" s="21"/>
      <c r="D110" s="21"/>
      <c r="E110" s="28"/>
      <c r="F110" s="28"/>
      <c r="G110" s="28"/>
    </row>
    <row r="111" spans="1:7" s="29" customFormat="1" ht="12.75" x14ac:dyDescent="0.2">
      <c r="A111" s="21"/>
      <c r="B111" s="21"/>
      <c r="C111" s="21"/>
      <c r="D111" s="21"/>
      <c r="E111" s="28"/>
      <c r="F111" s="28"/>
      <c r="G111" s="28"/>
    </row>
    <row r="112" spans="1:7" s="29" customFormat="1" ht="12.75" x14ac:dyDescent="0.2">
      <c r="A112" s="21"/>
      <c r="B112" s="21"/>
      <c r="C112" s="21"/>
      <c r="D112" s="21"/>
      <c r="E112" s="28"/>
      <c r="F112" s="28"/>
      <c r="G112" s="28"/>
    </row>
    <row r="113" spans="1:7" s="29" customFormat="1" ht="12.75" x14ac:dyDescent="0.2">
      <c r="A113" s="21"/>
      <c r="B113" s="21"/>
      <c r="C113" s="21"/>
      <c r="D113" s="21"/>
      <c r="E113" s="28"/>
      <c r="F113" s="28"/>
      <c r="G113" s="28"/>
    </row>
    <row r="114" spans="1:7" s="29" customFormat="1" ht="12.75" x14ac:dyDescent="0.2">
      <c r="A114" s="21"/>
      <c r="B114" s="21"/>
      <c r="C114" s="21"/>
      <c r="D114" s="21"/>
      <c r="E114" s="28"/>
      <c r="F114" s="28"/>
      <c r="G114" s="28"/>
    </row>
    <row r="115" spans="1:7" s="29" customFormat="1" ht="12.75" x14ac:dyDescent="0.2">
      <c r="A115" s="21"/>
      <c r="B115" s="21"/>
      <c r="C115" s="21"/>
      <c r="D115" s="21"/>
      <c r="E115" s="28"/>
      <c r="F115" s="28"/>
      <c r="G115" s="28"/>
    </row>
    <row r="116" spans="1:7" s="29" customFormat="1" ht="12.75" x14ac:dyDescent="0.2">
      <c r="A116" s="21"/>
      <c r="B116" s="21"/>
      <c r="C116" s="21"/>
      <c r="D116" s="21"/>
      <c r="E116" s="28"/>
      <c r="F116" s="28"/>
      <c r="G116" s="28"/>
    </row>
    <row r="117" spans="1:7" s="29" customFormat="1" ht="12.75" x14ac:dyDescent="0.2">
      <c r="A117" s="21"/>
      <c r="B117" s="21"/>
      <c r="C117" s="21"/>
      <c r="D117" s="21"/>
      <c r="E117" s="28"/>
      <c r="F117" s="28"/>
      <c r="G117" s="28"/>
    </row>
    <row r="118" spans="1:7" s="29" customFormat="1" ht="12.75" x14ac:dyDescent="0.2">
      <c r="A118" s="21"/>
      <c r="B118" s="21"/>
      <c r="C118" s="21"/>
      <c r="D118" s="21"/>
      <c r="E118" s="28"/>
      <c r="F118" s="28"/>
      <c r="G118" s="28"/>
    </row>
    <row r="119" spans="1:7" s="29" customFormat="1" ht="12.75" x14ac:dyDescent="0.2">
      <c r="A119" s="21"/>
      <c r="B119" s="21"/>
      <c r="C119" s="21"/>
      <c r="D119" s="21"/>
      <c r="E119" s="28"/>
      <c r="F119" s="28"/>
      <c r="G119" s="28"/>
    </row>
    <row r="120" spans="1:7" s="29" customFormat="1" ht="12.75" x14ac:dyDescent="0.2">
      <c r="A120" s="21"/>
      <c r="B120" s="21"/>
      <c r="C120" s="21"/>
      <c r="D120" s="21"/>
      <c r="E120" s="28"/>
      <c r="F120" s="28"/>
      <c r="G120" s="28"/>
    </row>
    <row r="121" spans="1:7" s="29" customFormat="1" ht="12.75" x14ac:dyDescent="0.2">
      <c r="A121" s="21"/>
      <c r="B121" s="21"/>
      <c r="C121" s="21"/>
      <c r="D121" s="21"/>
      <c r="E121" s="28"/>
      <c r="F121" s="28"/>
      <c r="G121" s="28"/>
    </row>
    <row r="122" spans="1:7" s="29" customFormat="1" ht="12.75" x14ac:dyDescent="0.2">
      <c r="A122" s="21"/>
      <c r="B122" s="21"/>
      <c r="C122" s="21"/>
      <c r="D122" s="21"/>
      <c r="E122" s="28"/>
      <c r="F122" s="28"/>
      <c r="G122" s="28"/>
    </row>
    <row r="123" spans="1:7" s="29" customFormat="1" ht="12.75" x14ac:dyDescent="0.2">
      <c r="A123" s="21"/>
      <c r="B123" s="21"/>
      <c r="C123" s="21"/>
      <c r="D123" s="21"/>
      <c r="E123" s="28"/>
      <c r="F123" s="28"/>
      <c r="G123" s="28"/>
    </row>
    <row r="124" spans="1:7" s="29" customFormat="1" ht="12.75" x14ac:dyDescent="0.2">
      <c r="A124" s="21"/>
      <c r="B124" s="21"/>
      <c r="C124" s="21"/>
      <c r="D124" s="21"/>
      <c r="E124" s="28"/>
      <c r="F124" s="28"/>
      <c r="G124" s="28"/>
    </row>
    <row r="125" spans="1:7" s="29" customFormat="1" ht="12.75" x14ac:dyDescent="0.2">
      <c r="A125" s="21"/>
      <c r="B125" s="21"/>
      <c r="C125" s="21"/>
      <c r="D125" s="21"/>
      <c r="E125" s="28"/>
      <c r="F125" s="28"/>
      <c r="G125" s="28"/>
    </row>
    <row r="126" spans="1:7" s="29" customFormat="1" ht="12.75" x14ac:dyDescent="0.2">
      <c r="A126" s="21"/>
      <c r="B126" s="21"/>
      <c r="C126" s="21"/>
      <c r="D126" s="21"/>
      <c r="E126" s="28"/>
      <c r="F126" s="28"/>
      <c r="G126" s="28"/>
    </row>
    <row r="127" spans="1:7" s="29" customFormat="1" ht="12.75" x14ac:dyDescent="0.2">
      <c r="A127" s="21"/>
      <c r="B127" s="21"/>
      <c r="C127" s="21"/>
      <c r="D127" s="21"/>
      <c r="E127" s="28"/>
      <c r="F127" s="28"/>
      <c r="G127" s="28"/>
    </row>
    <row r="128" spans="1:7" s="29" customFormat="1" ht="12.75" x14ac:dyDescent="0.2">
      <c r="A128" s="21"/>
      <c r="B128" s="21"/>
      <c r="C128" s="21"/>
      <c r="D128" s="21"/>
      <c r="E128" s="28"/>
      <c r="F128" s="28"/>
      <c r="G128" s="28"/>
    </row>
    <row r="129" spans="1:7" s="29" customFormat="1" ht="12.75" x14ac:dyDescent="0.2">
      <c r="A129" s="21"/>
      <c r="B129" s="21"/>
      <c r="C129" s="21"/>
      <c r="D129" s="21"/>
      <c r="E129" s="28"/>
      <c r="F129" s="28"/>
      <c r="G129" s="28"/>
    </row>
    <row r="130" spans="1:7" s="29" customFormat="1" ht="12.75" x14ac:dyDescent="0.2">
      <c r="A130" s="21"/>
      <c r="B130" s="21"/>
      <c r="C130" s="21"/>
      <c r="D130" s="21"/>
      <c r="E130" s="28"/>
      <c r="F130" s="28"/>
      <c r="G130" s="28"/>
    </row>
    <row r="131" spans="1:7" s="29" customFormat="1" ht="12.75" x14ac:dyDescent="0.2">
      <c r="A131" s="21"/>
      <c r="B131" s="21"/>
      <c r="C131" s="21"/>
      <c r="D131" s="21"/>
      <c r="E131" s="28"/>
      <c r="F131" s="28"/>
      <c r="G131" s="28"/>
    </row>
    <row r="132" spans="1:7" s="29" customFormat="1" ht="12.75" x14ac:dyDescent="0.2">
      <c r="A132" s="21"/>
      <c r="B132" s="21"/>
      <c r="C132" s="21"/>
      <c r="D132" s="21"/>
      <c r="E132" s="28"/>
      <c r="F132" s="28"/>
      <c r="G132" s="28"/>
    </row>
    <row r="133" spans="1:7" s="29" customFormat="1" ht="12.75" x14ac:dyDescent="0.2">
      <c r="A133" s="21"/>
      <c r="B133" s="21"/>
      <c r="C133" s="21"/>
      <c r="D133" s="21"/>
      <c r="E133" s="28"/>
      <c r="F133" s="28"/>
      <c r="G133" s="28"/>
    </row>
    <row r="134" spans="1:7" s="29" customFormat="1" ht="12.75" x14ac:dyDescent="0.2">
      <c r="A134" s="21"/>
      <c r="B134" s="21"/>
      <c r="C134" s="21"/>
      <c r="D134" s="21"/>
      <c r="E134" s="28"/>
      <c r="F134" s="28"/>
      <c r="G134" s="28"/>
    </row>
    <row r="135" spans="1:7" s="29" customFormat="1" ht="12.75" x14ac:dyDescent="0.2">
      <c r="A135" s="21"/>
      <c r="B135" s="21"/>
      <c r="C135" s="21"/>
      <c r="D135" s="21"/>
      <c r="E135" s="28"/>
      <c r="F135" s="28"/>
      <c r="G135" s="28"/>
    </row>
    <row r="136" spans="1:7" s="29" customFormat="1" ht="12.75" x14ac:dyDescent="0.2">
      <c r="A136" s="21"/>
      <c r="B136" s="21"/>
      <c r="C136" s="21"/>
      <c r="D136" s="21"/>
      <c r="E136" s="28"/>
      <c r="F136" s="28"/>
      <c r="G136" s="28"/>
    </row>
    <row r="137" spans="1:7" s="29" customFormat="1" ht="12.75" x14ac:dyDescent="0.2">
      <c r="A137" s="21"/>
      <c r="B137" s="21"/>
      <c r="C137" s="21"/>
      <c r="D137" s="21"/>
      <c r="E137" s="28"/>
      <c r="F137" s="28"/>
      <c r="G137" s="28"/>
    </row>
    <row r="138" spans="1:7" s="29" customFormat="1" ht="12.75" x14ac:dyDescent="0.2">
      <c r="A138" s="21"/>
      <c r="B138" s="21"/>
      <c r="C138" s="21"/>
      <c r="D138" s="21"/>
      <c r="E138" s="28"/>
      <c r="F138" s="28"/>
      <c r="G138" s="28"/>
    </row>
    <row r="139" spans="1:7" s="29" customFormat="1" ht="12.75" x14ac:dyDescent="0.2">
      <c r="A139" s="21"/>
      <c r="B139" s="21"/>
      <c r="C139" s="21"/>
      <c r="D139" s="21"/>
      <c r="E139" s="28"/>
      <c r="F139" s="28"/>
      <c r="G139" s="28"/>
    </row>
    <row r="140" spans="1:7" s="29" customFormat="1" ht="12.75" x14ac:dyDescent="0.2">
      <c r="A140" s="21"/>
      <c r="B140" s="21"/>
      <c r="C140" s="21"/>
      <c r="D140" s="21"/>
      <c r="E140" s="28"/>
      <c r="F140" s="28"/>
      <c r="G140" s="28"/>
    </row>
    <row r="141" spans="1:7" s="29" customFormat="1" ht="12.75" x14ac:dyDescent="0.2">
      <c r="A141" s="21"/>
      <c r="B141" s="21"/>
      <c r="C141" s="21"/>
      <c r="D141" s="21"/>
      <c r="E141" s="28"/>
      <c r="F141" s="28"/>
      <c r="G141" s="28"/>
    </row>
    <row r="142" spans="1:7" s="29" customFormat="1" ht="12.75" x14ac:dyDescent="0.2">
      <c r="A142" s="21"/>
      <c r="B142" s="21"/>
      <c r="C142" s="21"/>
      <c r="D142" s="21"/>
      <c r="E142" s="28"/>
      <c r="F142" s="28"/>
      <c r="G142" s="28"/>
    </row>
    <row r="143" spans="1:7" s="29" customFormat="1" ht="12.75" x14ac:dyDescent="0.2">
      <c r="A143" s="21"/>
      <c r="B143" s="21"/>
      <c r="C143" s="21"/>
      <c r="D143" s="21"/>
      <c r="E143" s="28"/>
      <c r="F143" s="28"/>
      <c r="G143" s="28"/>
    </row>
    <row r="144" spans="1:7" s="29" customFormat="1" ht="12.75" x14ac:dyDescent="0.2">
      <c r="A144" s="21"/>
      <c r="B144" s="21"/>
      <c r="C144" s="21"/>
      <c r="D144" s="21"/>
      <c r="E144" s="28"/>
      <c r="F144" s="28"/>
      <c r="G144" s="28"/>
    </row>
    <row r="145" spans="1:7" s="29" customFormat="1" ht="12.75" x14ac:dyDescent="0.2">
      <c r="A145" s="21"/>
      <c r="B145" s="21"/>
      <c r="C145" s="21"/>
      <c r="D145" s="21"/>
      <c r="E145" s="28"/>
      <c r="F145" s="28"/>
      <c r="G145" s="28"/>
    </row>
    <row r="146" spans="1:7" s="29" customFormat="1" ht="12.75" x14ac:dyDescent="0.2">
      <c r="A146" s="21"/>
      <c r="B146" s="21"/>
      <c r="C146" s="21"/>
      <c r="D146" s="21"/>
      <c r="E146" s="28"/>
      <c r="F146" s="28"/>
      <c r="G146" s="28"/>
    </row>
    <row r="147" spans="1:7" s="29" customFormat="1" ht="12.75" x14ac:dyDescent="0.2">
      <c r="A147" s="21"/>
      <c r="B147" s="21"/>
      <c r="C147" s="21"/>
      <c r="D147" s="21"/>
      <c r="E147" s="28"/>
      <c r="F147" s="28"/>
      <c r="G147" s="28"/>
    </row>
    <row r="148" spans="1:7" s="29" customFormat="1" ht="12.75" x14ac:dyDescent="0.2">
      <c r="A148" s="21"/>
      <c r="B148" s="21"/>
      <c r="C148" s="21"/>
      <c r="D148" s="21"/>
      <c r="E148" s="28"/>
      <c r="F148" s="28"/>
      <c r="G148" s="28"/>
    </row>
    <row r="149" spans="1:7" s="29" customFormat="1" ht="12.75" x14ac:dyDescent="0.2">
      <c r="A149" s="21"/>
      <c r="B149" s="21"/>
      <c r="C149" s="21"/>
      <c r="D149" s="21"/>
      <c r="E149" s="28"/>
      <c r="F149" s="28"/>
      <c r="G149" s="28"/>
    </row>
    <row r="150" spans="1:7" s="29" customFormat="1" ht="12.75" x14ac:dyDescent="0.2">
      <c r="A150" s="21"/>
      <c r="B150" s="21"/>
      <c r="C150" s="21"/>
      <c r="D150" s="21"/>
      <c r="E150" s="28"/>
      <c r="F150" s="28"/>
      <c r="G150" s="28"/>
    </row>
    <row r="151" spans="1:7" s="29" customFormat="1" ht="12.75" x14ac:dyDescent="0.2">
      <c r="A151" s="21"/>
      <c r="B151" s="21"/>
      <c r="C151" s="21"/>
      <c r="D151" s="21"/>
      <c r="E151" s="28"/>
      <c r="F151" s="28"/>
      <c r="G151" s="28"/>
    </row>
    <row r="152" spans="1:7" s="29" customFormat="1" ht="12.75" x14ac:dyDescent="0.2">
      <c r="A152" s="21"/>
      <c r="B152" s="21"/>
      <c r="C152" s="21"/>
      <c r="D152" s="21"/>
      <c r="E152" s="28"/>
      <c r="F152" s="28"/>
      <c r="G152" s="28"/>
    </row>
    <row r="153" spans="1:7" s="29" customFormat="1" ht="12.75" x14ac:dyDescent="0.2">
      <c r="A153" s="21"/>
      <c r="B153" s="21"/>
      <c r="C153" s="21"/>
      <c r="D153" s="21"/>
      <c r="E153" s="28"/>
      <c r="F153" s="28"/>
      <c r="G153" s="28"/>
    </row>
    <row r="154" spans="1:7" s="29" customFormat="1" ht="12.75" x14ac:dyDescent="0.2">
      <c r="A154" s="21"/>
      <c r="B154" s="21"/>
      <c r="C154" s="21"/>
      <c r="D154" s="21"/>
      <c r="E154" s="28"/>
      <c r="F154" s="28"/>
      <c r="G154" s="28"/>
    </row>
    <row r="155" spans="1:7" s="29" customFormat="1" ht="12.75" x14ac:dyDescent="0.2">
      <c r="A155" s="21"/>
      <c r="B155" s="21"/>
      <c r="C155" s="21"/>
      <c r="D155" s="21"/>
      <c r="E155" s="28"/>
      <c r="F155" s="28"/>
      <c r="G155" s="28"/>
    </row>
    <row r="156" spans="1:7" s="29" customFormat="1" ht="12.75" x14ac:dyDescent="0.2">
      <c r="A156" s="21"/>
      <c r="B156" s="21"/>
      <c r="C156" s="21"/>
      <c r="D156" s="21"/>
      <c r="E156" s="28"/>
      <c r="F156" s="28"/>
      <c r="G156" s="28"/>
    </row>
    <row r="157" spans="1:7" s="29" customFormat="1" ht="12.75" x14ac:dyDescent="0.2">
      <c r="A157" s="21"/>
      <c r="B157" s="21"/>
      <c r="C157" s="21"/>
      <c r="D157" s="21"/>
      <c r="E157" s="28"/>
      <c r="F157" s="28"/>
      <c r="G157" s="28"/>
    </row>
    <row r="158" spans="1:7" s="29" customFormat="1" ht="12.75" x14ac:dyDescent="0.2">
      <c r="A158" s="21"/>
      <c r="B158" s="21"/>
      <c r="C158" s="21"/>
      <c r="D158" s="21"/>
      <c r="E158" s="28"/>
      <c r="F158" s="28"/>
      <c r="G158" s="28"/>
    </row>
    <row r="159" spans="1:7" s="29" customFormat="1" ht="12.75" x14ac:dyDescent="0.2">
      <c r="A159" s="21"/>
      <c r="B159" s="21"/>
      <c r="C159" s="21"/>
      <c r="D159" s="21"/>
      <c r="E159" s="28"/>
      <c r="F159" s="28"/>
      <c r="G159" s="28"/>
    </row>
    <row r="160" spans="1:7" s="29" customFormat="1" ht="12.75" x14ac:dyDescent="0.2">
      <c r="A160" s="21"/>
      <c r="B160" s="21"/>
      <c r="C160" s="21"/>
      <c r="D160" s="21"/>
      <c r="E160" s="28"/>
      <c r="F160" s="28"/>
      <c r="G160" s="28"/>
    </row>
    <row r="161" spans="1:7" s="29" customFormat="1" ht="12.75" x14ac:dyDescent="0.2">
      <c r="A161" s="21"/>
      <c r="B161" s="21"/>
      <c r="C161" s="21"/>
      <c r="D161" s="21"/>
      <c r="E161" s="28"/>
      <c r="F161" s="28"/>
      <c r="G161" s="28"/>
    </row>
    <row r="162" spans="1:7" s="29" customFormat="1" ht="12.75" x14ac:dyDescent="0.2">
      <c r="A162" s="21"/>
      <c r="B162" s="21"/>
      <c r="C162" s="21"/>
      <c r="D162" s="21"/>
      <c r="E162" s="28"/>
      <c r="F162" s="28"/>
      <c r="G162" s="28"/>
    </row>
    <row r="163" spans="1:7" s="29" customFormat="1" ht="12.75" x14ac:dyDescent="0.2">
      <c r="A163" s="21"/>
      <c r="B163" s="21"/>
      <c r="C163" s="21"/>
      <c r="D163" s="21"/>
      <c r="E163" s="28"/>
      <c r="F163" s="28"/>
      <c r="G163" s="28"/>
    </row>
    <row r="164" spans="1:7" s="29" customFormat="1" ht="12.75" x14ac:dyDescent="0.2">
      <c r="A164" s="21"/>
      <c r="B164" s="21"/>
      <c r="C164" s="21"/>
      <c r="D164" s="21"/>
      <c r="E164" s="28"/>
      <c r="F164" s="28"/>
      <c r="G164" s="28"/>
    </row>
    <row r="165" spans="1:7" s="29" customFormat="1" ht="12.75" x14ac:dyDescent="0.2">
      <c r="A165" s="21"/>
      <c r="B165" s="21"/>
      <c r="C165" s="21"/>
      <c r="D165" s="21"/>
      <c r="E165" s="28"/>
      <c r="F165" s="28"/>
      <c r="G165" s="28"/>
    </row>
    <row r="166" spans="1:7" s="29" customFormat="1" ht="12.75" x14ac:dyDescent="0.2">
      <c r="A166" s="21"/>
      <c r="B166" s="21"/>
      <c r="C166" s="21"/>
      <c r="D166" s="21"/>
      <c r="E166" s="28"/>
      <c r="F166" s="28"/>
      <c r="G166" s="28"/>
    </row>
    <row r="167" spans="1:7" s="29" customFormat="1" ht="12.75" x14ac:dyDescent="0.2">
      <c r="A167" s="21"/>
      <c r="B167" s="21"/>
      <c r="C167" s="21"/>
      <c r="D167" s="21"/>
      <c r="E167" s="28"/>
      <c r="F167" s="28"/>
      <c r="G167" s="28"/>
    </row>
    <row r="168" spans="1:7" s="29" customFormat="1" ht="12.75" x14ac:dyDescent="0.2">
      <c r="A168" s="21"/>
      <c r="B168" s="21"/>
      <c r="C168" s="21"/>
      <c r="D168" s="21"/>
      <c r="E168" s="28"/>
      <c r="F168" s="28"/>
      <c r="G168" s="28"/>
    </row>
    <row r="169" spans="1:7" s="29" customFormat="1" ht="12.75" x14ac:dyDescent="0.2">
      <c r="A169" s="21"/>
      <c r="B169" s="21"/>
      <c r="C169" s="21"/>
      <c r="D169" s="21"/>
      <c r="E169" s="28"/>
      <c r="F169" s="28"/>
      <c r="G169" s="28"/>
    </row>
    <row r="170" spans="1:7" s="29" customFormat="1" ht="12.75" x14ac:dyDescent="0.2">
      <c r="A170" s="21"/>
      <c r="B170" s="21"/>
      <c r="C170" s="21"/>
      <c r="D170" s="21"/>
      <c r="E170" s="28"/>
      <c r="F170" s="28"/>
      <c r="G170" s="28"/>
    </row>
    <row r="171" spans="1:7" s="29" customFormat="1" ht="12.75" x14ac:dyDescent="0.2">
      <c r="A171" s="21"/>
      <c r="B171" s="21"/>
      <c r="C171" s="21"/>
      <c r="D171" s="21"/>
      <c r="E171" s="28"/>
      <c r="F171" s="28"/>
      <c r="G171" s="28"/>
    </row>
    <row r="172" spans="1:7" s="29" customFormat="1" ht="12.75" x14ac:dyDescent="0.2">
      <c r="A172" s="21"/>
      <c r="B172" s="21"/>
      <c r="C172" s="21"/>
      <c r="D172" s="21"/>
      <c r="E172" s="28"/>
      <c r="F172" s="28"/>
      <c r="G172" s="28"/>
    </row>
    <row r="173" spans="1:7" s="29" customFormat="1" ht="12.75" x14ac:dyDescent="0.2">
      <c r="A173" s="21"/>
      <c r="B173" s="21"/>
      <c r="C173" s="21"/>
      <c r="D173" s="21"/>
      <c r="E173" s="28"/>
      <c r="F173" s="28"/>
      <c r="G173" s="28"/>
    </row>
    <row r="174" spans="1:7" s="29" customFormat="1" ht="12.75" x14ac:dyDescent="0.2">
      <c r="A174" s="21"/>
      <c r="B174" s="21"/>
      <c r="C174" s="21"/>
      <c r="D174" s="21"/>
      <c r="E174" s="28"/>
      <c r="F174" s="28"/>
      <c r="G174" s="28"/>
    </row>
    <row r="175" spans="1:7" s="29" customFormat="1" ht="12.75" x14ac:dyDescent="0.2">
      <c r="A175" s="21"/>
      <c r="B175" s="21"/>
      <c r="C175" s="21"/>
      <c r="D175" s="21"/>
      <c r="E175" s="28"/>
      <c r="F175" s="28"/>
      <c r="G175" s="28"/>
    </row>
    <row r="176" spans="1:7" s="29" customFormat="1" ht="12.75" x14ac:dyDescent="0.2">
      <c r="A176" s="21"/>
      <c r="B176" s="21"/>
      <c r="C176" s="21"/>
      <c r="D176" s="21"/>
      <c r="E176" s="28"/>
      <c r="F176" s="28"/>
      <c r="G176" s="28"/>
    </row>
    <row r="177" spans="1:7" s="29" customFormat="1" ht="12.75" x14ac:dyDescent="0.2">
      <c r="A177" s="21"/>
      <c r="B177" s="21"/>
      <c r="C177" s="21"/>
      <c r="D177" s="21"/>
      <c r="E177" s="28"/>
      <c r="F177" s="28"/>
      <c r="G177" s="28"/>
    </row>
    <row r="178" spans="1:7" s="29" customFormat="1" ht="12.75" x14ac:dyDescent="0.2">
      <c r="A178" s="21"/>
      <c r="B178" s="21"/>
      <c r="C178" s="21"/>
      <c r="D178" s="21"/>
      <c r="E178" s="28"/>
      <c r="F178" s="28"/>
      <c r="G178" s="28"/>
    </row>
    <row r="179" spans="1:7" s="29" customFormat="1" ht="12.75" x14ac:dyDescent="0.2">
      <c r="A179" s="21"/>
      <c r="B179" s="21"/>
      <c r="C179" s="21"/>
      <c r="D179" s="21"/>
      <c r="E179" s="28"/>
      <c r="F179" s="28"/>
      <c r="G179" s="28"/>
    </row>
    <row r="180" spans="1:7" s="29" customFormat="1" ht="12.75" x14ac:dyDescent="0.2">
      <c r="A180" s="21"/>
      <c r="B180" s="21"/>
      <c r="C180" s="21"/>
      <c r="D180" s="21"/>
      <c r="E180" s="28"/>
      <c r="F180" s="28"/>
      <c r="G180" s="28"/>
    </row>
    <row r="181" spans="1:7" s="29" customFormat="1" ht="12.75" x14ac:dyDescent="0.2">
      <c r="A181" s="21"/>
      <c r="B181" s="21"/>
      <c r="C181" s="21"/>
      <c r="D181" s="21"/>
      <c r="E181" s="28"/>
      <c r="F181" s="28"/>
      <c r="G181" s="28"/>
    </row>
    <row r="182" spans="1:7" s="29" customFormat="1" ht="12.75" x14ac:dyDescent="0.2">
      <c r="A182" s="21"/>
      <c r="B182" s="21"/>
      <c r="C182" s="21"/>
      <c r="D182" s="21"/>
      <c r="E182" s="28"/>
      <c r="F182" s="28"/>
      <c r="G182" s="28"/>
    </row>
    <row r="183" spans="1:7" s="29" customFormat="1" ht="12.75" x14ac:dyDescent="0.2">
      <c r="A183" s="21"/>
      <c r="B183" s="21"/>
      <c r="C183" s="21"/>
      <c r="D183" s="21"/>
      <c r="E183" s="28"/>
      <c r="F183" s="28"/>
      <c r="G183" s="28"/>
    </row>
    <row r="184" spans="1:7" s="29" customFormat="1" ht="12.75" x14ac:dyDescent="0.2">
      <c r="A184" s="21"/>
      <c r="B184" s="21"/>
      <c r="C184" s="21"/>
      <c r="D184" s="21"/>
      <c r="E184" s="28"/>
      <c r="F184" s="28"/>
      <c r="G184" s="28"/>
    </row>
    <row r="185" spans="1:7" s="29" customFormat="1" ht="12.75" x14ac:dyDescent="0.2">
      <c r="A185" s="21"/>
      <c r="B185" s="21"/>
      <c r="C185" s="21"/>
      <c r="D185" s="21"/>
      <c r="E185" s="28"/>
      <c r="F185" s="28"/>
      <c r="G185" s="28"/>
    </row>
    <row r="186" spans="1:7" s="29" customFormat="1" ht="12.75" x14ac:dyDescent="0.2">
      <c r="A186" s="21"/>
      <c r="B186" s="21"/>
      <c r="C186" s="21"/>
      <c r="D186" s="21"/>
      <c r="E186" s="28"/>
      <c r="F186" s="28"/>
      <c r="G186" s="28"/>
    </row>
    <row r="187" spans="1:7" s="29" customFormat="1" ht="12.75" x14ac:dyDescent="0.2">
      <c r="A187" s="21"/>
      <c r="B187" s="21"/>
      <c r="C187" s="21"/>
      <c r="D187" s="21"/>
      <c r="E187" s="28"/>
      <c r="F187" s="28"/>
      <c r="G187" s="28"/>
    </row>
    <row r="188" spans="1:7" s="29" customFormat="1" ht="12.75" x14ac:dyDescent="0.2">
      <c r="A188" s="21"/>
      <c r="B188" s="21"/>
      <c r="C188" s="21"/>
      <c r="D188" s="21"/>
      <c r="E188" s="28"/>
      <c r="F188" s="28"/>
      <c r="G188" s="28"/>
    </row>
    <row r="189" spans="1:7" s="29" customFormat="1" ht="12.75" x14ac:dyDescent="0.2">
      <c r="A189" s="21"/>
      <c r="B189" s="21"/>
      <c r="C189" s="21"/>
      <c r="D189" s="21"/>
      <c r="E189" s="28"/>
      <c r="F189" s="28"/>
      <c r="G189" s="28"/>
    </row>
    <row r="190" spans="1:7" s="29" customFormat="1" ht="12.75" x14ac:dyDescent="0.2">
      <c r="A190" s="21"/>
      <c r="B190" s="21"/>
      <c r="C190" s="21"/>
      <c r="D190" s="21"/>
      <c r="E190" s="28"/>
      <c r="F190" s="28"/>
      <c r="G190" s="28"/>
    </row>
    <row r="191" spans="1:7" s="29" customFormat="1" ht="12.75" x14ac:dyDescent="0.2">
      <c r="A191" s="21"/>
      <c r="B191" s="21"/>
      <c r="C191" s="21"/>
      <c r="D191" s="21"/>
      <c r="E191" s="28"/>
      <c r="F191" s="28"/>
      <c r="G191" s="28"/>
    </row>
    <row r="192" spans="1:7" s="29" customFormat="1" ht="12.75" x14ac:dyDescent="0.2">
      <c r="A192" s="21"/>
      <c r="B192" s="21"/>
      <c r="C192" s="21"/>
      <c r="D192" s="21"/>
      <c r="E192" s="28"/>
      <c r="F192" s="28"/>
      <c r="G192" s="28"/>
    </row>
    <row r="193" spans="1:7" s="29" customFormat="1" ht="12.75" x14ac:dyDescent="0.2">
      <c r="A193" s="21"/>
      <c r="B193" s="21"/>
      <c r="C193" s="21"/>
      <c r="D193" s="21"/>
      <c r="E193" s="28"/>
      <c r="F193" s="28"/>
      <c r="G193" s="28"/>
    </row>
    <row r="194" spans="1:7" s="29" customFormat="1" ht="12.75" x14ac:dyDescent="0.2">
      <c r="A194" s="21"/>
      <c r="B194" s="21"/>
      <c r="C194" s="21"/>
      <c r="D194" s="21"/>
      <c r="E194" s="28"/>
      <c r="F194" s="28"/>
      <c r="G194" s="28"/>
    </row>
    <row r="195" spans="1:7" s="29" customFormat="1" ht="12.75" x14ac:dyDescent="0.2">
      <c r="A195" s="21"/>
      <c r="B195" s="21"/>
      <c r="C195" s="21"/>
      <c r="D195" s="21"/>
      <c r="E195" s="28"/>
      <c r="F195" s="28"/>
      <c r="G195" s="28"/>
    </row>
    <row r="196" spans="1:7" s="29" customFormat="1" ht="12.75" x14ac:dyDescent="0.2">
      <c r="A196" s="21"/>
      <c r="B196" s="21"/>
      <c r="C196" s="21"/>
      <c r="D196" s="21"/>
      <c r="E196" s="28"/>
      <c r="F196" s="28"/>
      <c r="G196" s="28"/>
    </row>
    <row r="197" spans="1:7" s="29" customFormat="1" ht="12.75" x14ac:dyDescent="0.2">
      <c r="A197" s="21"/>
      <c r="B197" s="21"/>
      <c r="C197" s="21"/>
      <c r="D197" s="21"/>
      <c r="E197" s="28"/>
      <c r="F197" s="28"/>
      <c r="G197" s="28"/>
    </row>
    <row r="198" spans="1:7" s="29" customFormat="1" ht="12.75" x14ac:dyDescent="0.2">
      <c r="A198" s="21"/>
      <c r="B198" s="21"/>
      <c r="C198" s="21"/>
      <c r="D198" s="21"/>
      <c r="E198" s="28"/>
      <c r="F198" s="28"/>
      <c r="G198" s="28"/>
    </row>
    <row r="199" spans="1:7" s="29" customFormat="1" ht="12.75" x14ac:dyDescent="0.2">
      <c r="A199" s="21"/>
      <c r="B199" s="21"/>
      <c r="C199" s="21"/>
      <c r="D199" s="21"/>
      <c r="E199" s="28"/>
      <c r="F199" s="28"/>
      <c r="G199" s="28"/>
    </row>
    <row r="200" spans="1:7" s="29" customFormat="1" ht="12.75" x14ac:dyDescent="0.2">
      <c r="A200" s="21"/>
      <c r="B200" s="21"/>
      <c r="C200" s="21"/>
      <c r="D200" s="21"/>
      <c r="E200" s="28"/>
      <c r="F200" s="28"/>
      <c r="G200" s="28"/>
    </row>
    <row r="201" spans="1:7" s="29" customFormat="1" ht="12.75" x14ac:dyDescent="0.2">
      <c r="A201" s="21"/>
      <c r="B201" s="21"/>
      <c r="C201" s="21"/>
      <c r="D201" s="21"/>
      <c r="E201" s="28"/>
      <c r="F201" s="28"/>
      <c r="G201" s="28"/>
    </row>
    <row r="202" spans="1:7" s="29" customFormat="1" ht="12.75" x14ac:dyDescent="0.2">
      <c r="A202" s="21"/>
      <c r="B202" s="21"/>
      <c r="C202" s="21"/>
      <c r="D202" s="21"/>
      <c r="E202" s="28"/>
      <c r="F202" s="28"/>
      <c r="G202" s="28"/>
    </row>
    <row r="203" spans="1:7" s="29" customFormat="1" ht="12.75" x14ac:dyDescent="0.2">
      <c r="A203" s="21"/>
      <c r="B203" s="21"/>
      <c r="C203" s="21"/>
      <c r="D203" s="21"/>
      <c r="E203" s="28"/>
      <c r="F203" s="28"/>
      <c r="G203" s="28"/>
    </row>
    <row r="204" spans="1:7" s="29" customFormat="1" ht="12.75" x14ac:dyDescent="0.2">
      <c r="A204" s="21"/>
      <c r="B204" s="21"/>
      <c r="C204" s="21"/>
      <c r="D204" s="21"/>
      <c r="E204" s="28"/>
      <c r="F204" s="28"/>
      <c r="G204" s="28"/>
    </row>
    <row r="205" spans="1:7" s="29" customFormat="1" ht="12.75" x14ac:dyDescent="0.2">
      <c r="A205" s="21"/>
      <c r="B205" s="21"/>
      <c r="C205" s="21"/>
      <c r="D205" s="21"/>
      <c r="E205" s="28"/>
      <c r="F205" s="28"/>
      <c r="G205" s="28"/>
    </row>
    <row r="206" spans="1:7" s="29" customFormat="1" ht="12.75" x14ac:dyDescent="0.2">
      <c r="A206" s="21"/>
      <c r="B206" s="21"/>
      <c r="C206" s="21"/>
      <c r="D206" s="21"/>
      <c r="E206" s="28"/>
      <c r="F206" s="28"/>
      <c r="G206" s="28"/>
    </row>
    <row r="207" spans="1:7" s="29" customFormat="1" ht="12.75" x14ac:dyDescent="0.2">
      <c r="A207" s="21"/>
      <c r="B207" s="21"/>
      <c r="C207" s="21"/>
      <c r="D207" s="21"/>
      <c r="E207" s="28"/>
      <c r="F207" s="28"/>
      <c r="G207" s="28"/>
    </row>
    <row r="208" spans="1:7" s="29" customFormat="1" ht="12.75" x14ac:dyDescent="0.2">
      <c r="A208" s="21"/>
      <c r="B208" s="21"/>
      <c r="C208" s="21"/>
      <c r="D208" s="21"/>
      <c r="E208" s="28"/>
      <c r="F208" s="28"/>
      <c r="G208" s="28"/>
    </row>
    <row r="209" spans="1:7" s="29" customFormat="1" ht="12.75" x14ac:dyDescent="0.2">
      <c r="A209" s="21"/>
      <c r="B209" s="21"/>
      <c r="C209" s="21"/>
      <c r="D209" s="21"/>
      <c r="E209" s="28"/>
      <c r="F209" s="28"/>
      <c r="G209" s="28"/>
    </row>
    <row r="210" spans="1:7" s="29" customFormat="1" ht="12.75" x14ac:dyDescent="0.2">
      <c r="A210" s="21"/>
      <c r="B210" s="21"/>
      <c r="C210" s="21"/>
      <c r="D210" s="21"/>
      <c r="E210" s="28"/>
      <c r="F210" s="28"/>
      <c r="G210" s="28"/>
    </row>
    <row r="211" spans="1:7" s="29" customFormat="1" ht="12.75" x14ac:dyDescent="0.2">
      <c r="A211" s="21"/>
      <c r="B211" s="21"/>
      <c r="C211" s="21"/>
      <c r="D211" s="21"/>
      <c r="E211" s="28"/>
      <c r="F211" s="28"/>
      <c r="G211" s="28"/>
    </row>
    <row r="212" spans="1:7" s="29" customFormat="1" ht="12.75" x14ac:dyDescent="0.2">
      <c r="A212" s="21"/>
      <c r="B212" s="21"/>
      <c r="C212" s="21"/>
      <c r="D212" s="21"/>
      <c r="E212" s="28"/>
      <c r="F212" s="28"/>
      <c r="G212" s="28"/>
    </row>
    <row r="213" spans="1:7" s="29" customFormat="1" ht="12.75" x14ac:dyDescent="0.2">
      <c r="A213" s="21"/>
      <c r="B213" s="21"/>
      <c r="C213" s="21"/>
      <c r="D213" s="21"/>
      <c r="E213" s="28"/>
      <c r="F213" s="28"/>
      <c r="G213" s="28"/>
    </row>
    <row r="214" spans="1:7" s="29" customFormat="1" ht="12.75" x14ac:dyDescent="0.2">
      <c r="A214" s="21"/>
      <c r="B214" s="21"/>
      <c r="C214" s="21"/>
      <c r="D214" s="21"/>
      <c r="E214" s="28"/>
      <c r="F214" s="28"/>
      <c r="G214" s="28"/>
    </row>
    <row r="215" spans="1:7" s="29" customFormat="1" ht="12.75" x14ac:dyDescent="0.2">
      <c r="A215" s="21"/>
      <c r="B215" s="21"/>
      <c r="C215" s="21"/>
      <c r="D215" s="21"/>
      <c r="E215" s="28"/>
      <c r="F215" s="28"/>
      <c r="G215" s="28"/>
    </row>
    <row r="216" spans="1:7" s="29" customFormat="1" ht="12.75" x14ac:dyDescent="0.2">
      <c r="A216" s="21"/>
      <c r="B216" s="21"/>
      <c r="C216" s="21"/>
      <c r="D216" s="21"/>
      <c r="E216" s="28"/>
      <c r="F216" s="28"/>
      <c r="G216" s="28"/>
    </row>
    <row r="217" spans="1:7" s="29" customFormat="1" ht="12.75" x14ac:dyDescent="0.2">
      <c r="A217" s="21"/>
      <c r="B217" s="21"/>
      <c r="C217" s="21"/>
      <c r="D217" s="21"/>
      <c r="E217" s="28"/>
      <c r="F217" s="28"/>
      <c r="G217" s="28"/>
    </row>
  </sheetData>
  <mergeCells count="5">
    <mergeCell ref="A1:F2"/>
    <mergeCell ref="G1:G5"/>
    <mergeCell ref="A3:C3"/>
    <mergeCell ref="A4:C4"/>
    <mergeCell ref="A5:C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0C826-D40C-456E-A143-6B3DD55BB96D}">
  <sheetPr codeName="Hoja3"/>
  <dimension ref="A1:G208"/>
  <sheetViews>
    <sheetView showGridLines="0" zoomScale="150" zoomScaleNormal="150" workbookViewId="0">
      <pane xSplit="7" ySplit="6" topLeftCell="H13" activePane="bottomRight" state="frozen"/>
      <selection pane="topRight" activeCell="H1" sqref="H1"/>
      <selection pane="bottomLeft" activeCell="A7" sqref="A7"/>
      <selection pane="bottomRight" activeCell="G86" sqref="G86"/>
    </sheetView>
  </sheetViews>
  <sheetFormatPr baseColWidth="10" defaultRowHeight="15" x14ac:dyDescent="0.25"/>
  <cols>
    <col min="1" max="1" width="5.5703125" style="4" bestFit="1" customWidth="1"/>
    <col min="2" max="2" width="12" style="4" customWidth="1"/>
    <col min="3" max="3" width="17.140625" style="4" customWidth="1"/>
    <col min="4" max="4" width="34.5703125" style="4" bestFit="1" customWidth="1"/>
    <col min="5" max="5" width="15" style="5" customWidth="1"/>
    <col min="6" max="6" width="14.42578125" style="5" customWidth="1"/>
    <col min="7" max="7" width="26" style="5" customWidth="1"/>
    <col min="8" max="16384" width="11.42578125" style="1"/>
  </cols>
  <sheetData>
    <row r="1" spans="1:7" ht="15" customHeight="1" x14ac:dyDescent="0.25">
      <c r="A1" s="36" t="s">
        <v>8</v>
      </c>
      <c r="B1" s="37"/>
      <c r="C1" s="37"/>
      <c r="D1" s="37"/>
      <c r="E1" s="37"/>
      <c r="F1" s="37"/>
      <c r="G1" s="52"/>
    </row>
    <row r="2" spans="1:7" ht="39" customHeight="1" thickBot="1" x14ac:dyDescent="0.3">
      <c r="A2" s="39"/>
      <c r="B2" s="40"/>
      <c r="C2" s="40"/>
      <c r="D2" s="60"/>
      <c r="E2" s="60"/>
      <c r="F2" s="60"/>
      <c r="G2" s="53"/>
    </row>
    <row r="3" spans="1:7" ht="21" thickTop="1" thickBot="1" x14ac:dyDescent="0.3">
      <c r="A3" s="55" t="s">
        <v>24</v>
      </c>
      <c r="B3" s="56"/>
      <c r="C3" s="57"/>
      <c r="D3" s="22"/>
      <c r="E3" s="23"/>
      <c r="F3" s="24"/>
      <c r="G3" s="53"/>
    </row>
    <row r="4" spans="1:7" ht="15.75" thickTop="1" x14ac:dyDescent="0.25">
      <c r="A4" s="58"/>
      <c r="B4" s="58"/>
      <c r="C4" s="58"/>
      <c r="D4" s="3"/>
      <c r="E4" s="3"/>
      <c r="F4" s="3"/>
      <c r="G4" s="53"/>
    </row>
    <row r="5" spans="1:7" ht="15.75" thickBot="1" x14ac:dyDescent="0.3">
      <c r="A5" s="59" t="s">
        <v>6</v>
      </c>
      <c r="B5" s="59"/>
      <c r="C5" s="59"/>
      <c r="D5" s="10" t="s">
        <v>25</v>
      </c>
      <c r="E5" s="11" t="s">
        <v>23</v>
      </c>
      <c r="F5" s="14" t="s">
        <v>43</v>
      </c>
      <c r="G5" s="54"/>
    </row>
    <row r="6" spans="1:7" ht="27.75" customHeight="1" thickBot="1" x14ac:dyDescent="0.3">
      <c r="A6" s="12" t="s">
        <v>5</v>
      </c>
      <c r="B6" s="13" t="s">
        <v>0</v>
      </c>
      <c r="C6" s="13" t="s">
        <v>1</v>
      </c>
      <c r="D6" s="13" t="s">
        <v>2</v>
      </c>
      <c r="E6" s="13" t="s">
        <v>14</v>
      </c>
      <c r="F6" s="13" t="s">
        <v>3</v>
      </c>
      <c r="G6" s="15" t="s">
        <v>4</v>
      </c>
    </row>
    <row r="7" spans="1:7" s="29" customFormat="1" ht="12.75" x14ac:dyDescent="0.2">
      <c r="A7" s="21">
        <v>1</v>
      </c>
      <c r="B7" s="21"/>
      <c r="C7" s="21"/>
      <c r="D7" s="21" t="s">
        <v>69</v>
      </c>
      <c r="E7" s="28" t="s">
        <v>94</v>
      </c>
      <c r="F7" s="28">
        <v>12</v>
      </c>
      <c r="G7" s="28" t="s">
        <v>507</v>
      </c>
    </row>
    <row r="8" spans="1:7" s="29" customFormat="1" ht="12.75" x14ac:dyDescent="0.2">
      <c r="A8" s="21">
        <v>2</v>
      </c>
      <c r="B8" s="21"/>
      <c r="C8" s="21"/>
      <c r="D8" s="21" t="s">
        <v>95</v>
      </c>
      <c r="E8" s="28" t="s">
        <v>94</v>
      </c>
      <c r="F8" s="28">
        <v>11</v>
      </c>
      <c r="G8" s="28">
        <v>470</v>
      </c>
    </row>
    <row r="9" spans="1:7" s="29" customFormat="1" ht="12.75" x14ac:dyDescent="0.2">
      <c r="A9" s="21">
        <v>3</v>
      </c>
      <c r="B9" s="21"/>
      <c r="C9" s="21"/>
      <c r="D9" s="21" t="s">
        <v>70</v>
      </c>
      <c r="E9" s="28" t="s">
        <v>94</v>
      </c>
      <c r="F9" s="28">
        <v>11</v>
      </c>
      <c r="G9" s="28" t="s">
        <v>309</v>
      </c>
    </row>
    <row r="10" spans="1:7" s="29" customFormat="1" ht="12.75" x14ac:dyDescent="0.2">
      <c r="A10" s="21">
        <v>4</v>
      </c>
      <c r="B10" s="21"/>
      <c r="C10" s="21"/>
      <c r="D10" s="21" t="s">
        <v>71</v>
      </c>
      <c r="E10" s="28" t="s">
        <v>94</v>
      </c>
      <c r="F10" s="28"/>
      <c r="G10" s="28"/>
    </row>
    <row r="11" spans="1:7" s="29" customFormat="1" ht="12.75" x14ac:dyDescent="0.2">
      <c r="A11" s="21">
        <v>5</v>
      </c>
      <c r="B11" s="21"/>
      <c r="C11" s="21"/>
      <c r="D11" s="21" t="s">
        <v>72</v>
      </c>
      <c r="E11" s="28" t="s">
        <v>94</v>
      </c>
      <c r="F11" s="28">
        <v>9</v>
      </c>
      <c r="G11" s="28">
        <v>370</v>
      </c>
    </row>
    <row r="12" spans="1:7" s="29" customFormat="1" ht="12.75" x14ac:dyDescent="0.2">
      <c r="A12" s="21">
        <v>6</v>
      </c>
      <c r="B12" s="21"/>
      <c r="C12" s="21"/>
      <c r="D12" s="21" t="s">
        <v>73</v>
      </c>
      <c r="E12" s="28" t="s">
        <v>94</v>
      </c>
      <c r="F12" s="28">
        <v>6.5</v>
      </c>
      <c r="G12" s="28">
        <v>275</v>
      </c>
    </row>
    <row r="13" spans="1:7" s="29" customFormat="1" ht="12.75" x14ac:dyDescent="0.2">
      <c r="A13" s="21">
        <v>7</v>
      </c>
      <c r="B13" s="21"/>
      <c r="C13" s="21"/>
      <c r="D13" s="21" t="s">
        <v>74</v>
      </c>
      <c r="E13" s="28" t="s">
        <v>94</v>
      </c>
      <c r="F13" s="28">
        <v>6.5</v>
      </c>
      <c r="G13" s="28">
        <v>275</v>
      </c>
    </row>
    <row r="14" spans="1:7" s="29" customFormat="1" ht="12.75" x14ac:dyDescent="0.2">
      <c r="A14" s="21"/>
      <c r="B14" s="21"/>
      <c r="C14" s="21"/>
      <c r="D14" s="21" t="s">
        <v>615</v>
      </c>
      <c r="E14" s="28" t="s">
        <v>94</v>
      </c>
      <c r="F14" s="28">
        <v>7.5</v>
      </c>
      <c r="G14" s="28">
        <v>310</v>
      </c>
    </row>
    <row r="15" spans="1:7" s="29" customFormat="1" ht="12.75" x14ac:dyDescent="0.2">
      <c r="A15" s="21">
        <v>8</v>
      </c>
      <c r="B15" s="21"/>
      <c r="C15" s="21"/>
      <c r="D15" s="21" t="s">
        <v>75</v>
      </c>
      <c r="E15" s="28"/>
      <c r="F15" s="28"/>
      <c r="G15" s="28">
        <v>40</v>
      </c>
    </row>
    <row r="16" spans="1:7" s="29" customFormat="1" ht="12.75" x14ac:dyDescent="0.2">
      <c r="A16" s="21">
        <v>9</v>
      </c>
      <c r="B16" s="21"/>
      <c r="C16" s="21"/>
      <c r="D16" s="21" t="s">
        <v>76</v>
      </c>
      <c r="E16" s="28"/>
      <c r="F16" s="28"/>
      <c r="G16" s="28">
        <v>38</v>
      </c>
    </row>
    <row r="17" spans="1:7" s="29" customFormat="1" ht="12.75" x14ac:dyDescent="0.2">
      <c r="A17" s="21">
        <v>10</v>
      </c>
      <c r="B17" s="21"/>
      <c r="C17" s="21"/>
      <c r="D17" s="21" t="s">
        <v>77</v>
      </c>
      <c r="E17" s="28"/>
      <c r="F17" s="28"/>
      <c r="G17" s="28">
        <v>15</v>
      </c>
    </row>
    <row r="18" spans="1:7" s="29" customFormat="1" ht="12.75" x14ac:dyDescent="0.2">
      <c r="A18" s="21">
        <v>11</v>
      </c>
      <c r="B18" s="21"/>
      <c r="C18" s="21"/>
      <c r="D18" s="21" t="s">
        <v>78</v>
      </c>
      <c r="E18" s="28"/>
      <c r="F18" s="28"/>
      <c r="G18" s="28">
        <v>93</v>
      </c>
    </row>
    <row r="19" spans="1:7" s="29" customFormat="1" ht="12.75" x14ac:dyDescent="0.2">
      <c r="A19" s="21">
        <v>12</v>
      </c>
      <c r="B19" s="21"/>
      <c r="C19" s="21"/>
      <c r="D19" s="21" t="s">
        <v>79</v>
      </c>
      <c r="E19" s="28"/>
      <c r="F19" s="28"/>
      <c r="G19" s="28">
        <v>55</v>
      </c>
    </row>
    <row r="20" spans="1:7" s="29" customFormat="1" ht="12.75" x14ac:dyDescent="0.2">
      <c r="A20" s="21">
        <v>13</v>
      </c>
      <c r="B20" s="21"/>
      <c r="C20" s="21"/>
      <c r="D20" s="21" t="s">
        <v>80</v>
      </c>
      <c r="E20" s="28"/>
      <c r="F20" s="28"/>
      <c r="G20" s="28" t="s">
        <v>263</v>
      </c>
    </row>
    <row r="21" spans="1:7" s="29" customFormat="1" ht="12.75" x14ac:dyDescent="0.2">
      <c r="A21" s="21">
        <v>14</v>
      </c>
      <c r="B21" s="21"/>
      <c r="C21" s="21"/>
      <c r="D21" s="21" t="s">
        <v>81</v>
      </c>
      <c r="E21" s="28"/>
      <c r="F21" s="28"/>
      <c r="G21" s="28">
        <v>75</v>
      </c>
    </row>
    <row r="22" spans="1:7" s="29" customFormat="1" ht="12.75" x14ac:dyDescent="0.2">
      <c r="A22" s="21">
        <v>15</v>
      </c>
      <c r="B22" s="21"/>
      <c r="C22" s="21"/>
      <c r="D22" s="21" t="s">
        <v>82</v>
      </c>
      <c r="E22" s="28"/>
      <c r="F22" s="28"/>
      <c r="G22" s="28">
        <v>75</v>
      </c>
    </row>
    <row r="23" spans="1:7" s="29" customFormat="1" ht="12.75" x14ac:dyDescent="0.2">
      <c r="A23" s="21">
        <v>16</v>
      </c>
      <c r="B23" s="21"/>
      <c r="C23" s="21"/>
      <c r="D23" s="21" t="s">
        <v>83</v>
      </c>
      <c r="E23" s="28"/>
      <c r="F23" s="28"/>
      <c r="G23" s="28"/>
    </row>
    <row r="24" spans="1:7" s="29" customFormat="1" ht="12.75" x14ac:dyDescent="0.2">
      <c r="A24" s="21">
        <v>17</v>
      </c>
      <c r="B24" s="21"/>
      <c r="C24" s="21"/>
      <c r="D24" s="21" t="s">
        <v>84</v>
      </c>
      <c r="E24" s="28"/>
      <c r="F24" s="28">
        <v>8</v>
      </c>
      <c r="G24" s="28">
        <v>330</v>
      </c>
    </row>
    <row r="25" spans="1:7" s="29" customFormat="1" ht="12.75" x14ac:dyDescent="0.2">
      <c r="A25" s="21">
        <v>18</v>
      </c>
      <c r="B25" s="21"/>
      <c r="C25" s="21"/>
      <c r="D25" s="21" t="s">
        <v>140</v>
      </c>
      <c r="E25" s="28"/>
      <c r="F25" s="28">
        <v>7</v>
      </c>
      <c r="G25" s="28">
        <v>300</v>
      </c>
    </row>
    <row r="26" spans="1:7" s="29" customFormat="1" ht="12.75" x14ac:dyDescent="0.2">
      <c r="A26" s="21">
        <v>19</v>
      </c>
      <c r="B26" s="21"/>
      <c r="C26" s="21"/>
      <c r="D26" s="21" t="s">
        <v>85</v>
      </c>
      <c r="E26" s="28"/>
      <c r="F26" s="28"/>
      <c r="G26" s="28">
        <v>300</v>
      </c>
    </row>
    <row r="27" spans="1:7" s="29" customFormat="1" ht="12.75" x14ac:dyDescent="0.2">
      <c r="A27" s="21">
        <v>20</v>
      </c>
      <c r="B27" s="21"/>
      <c r="C27" s="21"/>
      <c r="D27" s="21" t="s">
        <v>86</v>
      </c>
      <c r="E27" s="28"/>
      <c r="F27" s="28"/>
      <c r="G27" s="28"/>
    </row>
    <row r="28" spans="1:7" s="29" customFormat="1" ht="12.75" x14ac:dyDescent="0.2">
      <c r="A28" s="21">
        <v>21</v>
      </c>
      <c r="B28" s="21"/>
      <c r="C28" s="21"/>
      <c r="D28" s="21" t="s">
        <v>87</v>
      </c>
      <c r="E28" s="28"/>
      <c r="F28" s="28">
        <v>15</v>
      </c>
      <c r="G28" s="28">
        <v>340</v>
      </c>
    </row>
    <row r="29" spans="1:7" s="29" customFormat="1" ht="12.75" x14ac:dyDescent="0.2">
      <c r="A29" s="21">
        <v>22</v>
      </c>
      <c r="B29" s="21"/>
      <c r="C29" s="21"/>
      <c r="D29" s="21" t="s">
        <v>88</v>
      </c>
      <c r="E29" s="28"/>
      <c r="F29" s="28"/>
      <c r="G29" s="28"/>
    </row>
    <row r="30" spans="1:7" s="29" customFormat="1" ht="12.75" x14ac:dyDescent="0.2">
      <c r="A30" s="21">
        <v>23</v>
      </c>
      <c r="B30" s="21"/>
      <c r="C30" s="21"/>
      <c r="D30" s="21" t="s">
        <v>89</v>
      </c>
      <c r="E30" s="28"/>
      <c r="F30" s="28"/>
      <c r="G30" s="28"/>
    </row>
    <row r="31" spans="1:7" s="29" customFormat="1" ht="12.75" x14ac:dyDescent="0.2">
      <c r="A31" s="21">
        <v>24</v>
      </c>
      <c r="B31" s="21"/>
      <c r="C31" s="21"/>
      <c r="D31" s="21" t="s">
        <v>90</v>
      </c>
      <c r="E31" s="28"/>
      <c r="F31" s="28"/>
      <c r="G31" s="29">
        <v>95</v>
      </c>
    </row>
    <row r="32" spans="1:7" s="29" customFormat="1" ht="12.75" x14ac:dyDescent="0.2">
      <c r="A32" s="21">
        <v>25</v>
      </c>
      <c r="B32" s="21"/>
      <c r="C32" s="21"/>
      <c r="D32" s="21" t="s">
        <v>92</v>
      </c>
      <c r="E32" s="28"/>
      <c r="F32" s="28"/>
      <c r="G32" s="28"/>
    </row>
    <row r="33" spans="1:7" s="29" customFormat="1" ht="12.75" x14ac:dyDescent="0.2">
      <c r="A33" s="21">
        <v>26</v>
      </c>
      <c r="B33" s="21"/>
      <c r="C33" s="21"/>
      <c r="D33" s="21" t="s">
        <v>93</v>
      </c>
      <c r="E33" s="28"/>
      <c r="F33" s="28"/>
      <c r="G33" s="28"/>
    </row>
    <row r="34" spans="1:7" s="29" customFormat="1" ht="12.75" x14ac:dyDescent="0.2">
      <c r="A34" s="21">
        <v>27</v>
      </c>
      <c r="B34" s="21"/>
      <c r="C34" s="21" t="s">
        <v>252</v>
      </c>
      <c r="D34" s="21" t="s">
        <v>251</v>
      </c>
      <c r="E34" s="28"/>
      <c r="F34" s="28"/>
      <c r="G34" s="28">
        <v>140</v>
      </c>
    </row>
    <row r="35" spans="1:7" s="29" customFormat="1" ht="12.75" x14ac:dyDescent="0.2">
      <c r="A35" s="21">
        <v>28</v>
      </c>
      <c r="B35" s="21"/>
      <c r="C35" s="21"/>
      <c r="D35" s="21" t="s">
        <v>262</v>
      </c>
      <c r="E35" s="28"/>
      <c r="F35" s="28"/>
      <c r="G35" s="28" t="s">
        <v>517</v>
      </c>
    </row>
    <row r="36" spans="1:7" s="29" customFormat="1" ht="12.75" x14ac:dyDescent="0.2">
      <c r="A36" s="21">
        <v>29</v>
      </c>
      <c r="B36" s="21"/>
      <c r="C36" s="21"/>
      <c r="D36" s="21" t="s">
        <v>579</v>
      </c>
      <c r="E36" s="28"/>
      <c r="F36" s="28">
        <v>3</v>
      </c>
      <c r="G36" s="28">
        <v>35</v>
      </c>
    </row>
    <row r="37" spans="1:7" s="29" customFormat="1" ht="12.75" x14ac:dyDescent="0.2">
      <c r="A37" s="21"/>
      <c r="B37" s="21"/>
      <c r="C37" s="21"/>
      <c r="D37" s="21" t="s">
        <v>580</v>
      </c>
      <c r="E37" s="28"/>
      <c r="F37" s="28">
        <v>30</v>
      </c>
      <c r="G37" s="28"/>
    </row>
    <row r="38" spans="1:7" s="29" customFormat="1" ht="12.75" x14ac:dyDescent="0.2">
      <c r="A38" s="21">
        <v>30</v>
      </c>
      <c r="B38" s="21"/>
      <c r="C38" s="21"/>
      <c r="D38" s="21" t="s">
        <v>574</v>
      </c>
      <c r="E38" s="28"/>
      <c r="F38" s="28">
        <v>17</v>
      </c>
      <c r="G38" s="28">
        <v>265</v>
      </c>
    </row>
    <row r="39" spans="1:7" s="29" customFormat="1" ht="12.75" x14ac:dyDescent="0.2">
      <c r="A39" s="21">
        <v>31</v>
      </c>
      <c r="B39" s="21"/>
      <c r="C39" s="21"/>
      <c r="D39" s="21" t="s">
        <v>302</v>
      </c>
      <c r="E39" s="28"/>
      <c r="F39" s="28">
        <v>20</v>
      </c>
      <c r="G39" s="28">
        <v>295</v>
      </c>
    </row>
    <row r="40" spans="1:7" s="29" customFormat="1" ht="12.75" x14ac:dyDescent="0.2">
      <c r="A40" s="21">
        <v>32</v>
      </c>
      <c r="B40" s="21"/>
      <c r="C40" s="21"/>
      <c r="D40" s="21" t="s">
        <v>303</v>
      </c>
      <c r="E40" s="28"/>
      <c r="F40" s="28"/>
      <c r="G40" s="28">
        <v>280</v>
      </c>
    </row>
    <row r="41" spans="1:7" s="29" customFormat="1" ht="12.75" x14ac:dyDescent="0.2">
      <c r="A41" s="21">
        <v>33</v>
      </c>
      <c r="B41" s="21"/>
      <c r="C41" s="21"/>
      <c r="D41" s="21" t="s">
        <v>306</v>
      </c>
      <c r="E41" s="28"/>
      <c r="F41" s="28"/>
      <c r="G41" s="28">
        <v>650</v>
      </c>
    </row>
    <row r="42" spans="1:7" s="29" customFormat="1" ht="12.75" x14ac:dyDescent="0.2">
      <c r="A42" s="21">
        <v>34</v>
      </c>
      <c r="B42" s="21"/>
      <c r="C42" s="21"/>
      <c r="D42" s="21" t="s">
        <v>307</v>
      </c>
      <c r="E42" s="28"/>
      <c r="F42" s="28"/>
      <c r="G42" s="28"/>
    </row>
    <row r="43" spans="1:7" s="29" customFormat="1" ht="12.75" x14ac:dyDescent="0.2">
      <c r="A43" s="21">
        <v>35</v>
      </c>
      <c r="B43" s="21"/>
      <c r="C43" s="21"/>
      <c r="D43" s="21" t="s">
        <v>308</v>
      </c>
      <c r="E43" s="28"/>
      <c r="F43" s="28"/>
      <c r="G43" s="28">
        <v>340</v>
      </c>
    </row>
    <row r="44" spans="1:7" s="29" customFormat="1" ht="12.75" x14ac:dyDescent="0.2">
      <c r="A44" s="21">
        <v>36</v>
      </c>
      <c r="B44" s="21"/>
      <c r="C44" s="21"/>
      <c r="D44" s="21"/>
      <c r="E44" s="28"/>
      <c r="F44" s="28"/>
      <c r="G44" s="28"/>
    </row>
    <row r="45" spans="1:7" s="29" customFormat="1" ht="12.75" x14ac:dyDescent="0.2">
      <c r="A45" s="21">
        <v>37</v>
      </c>
      <c r="B45" s="21"/>
      <c r="C45" s="21"/>
      <c r="D45" s="21" t="s">
        <v>313</v>
      </c>
      <c r="E45" s="28">
        <v>24</v>
      </c>
      <c r="F45" s="28">
        <v>15</v>
      </c>
      <c r="G45" s="28">
        <v>320</v>
      </c>
    </row>
    <row r="46" spans="1:7" s="29" customFormat="1" ht="12.75" x14ac:dyDescent="0.2">
      <c r="A46" s="21">
        <v>38</v>
      </c>
      <c r="B46" s="21"/>
      <c r="C46" s="21"/>
      <c r="D46" s="21"/>
      <c r="E46" s="28"/>
      <c r="F46" s="28"/>
      <c r="G46" s="28"/>
    </row>
    <row r="47" spans="1:7" s="29" customFormat="1" ht="12.75" x14ac:dyDescent="0.2">
      <c r="A47" s="21">
        <v>39</v>
      </c>
      <c r="B47" s="21"/>
      <c r="C47" s="21"/>
      <c r="D47" s="21" t="s">
        <v>317</v>
      </c>
      <c r="E47" s="28"/>
      <c r="F47" s="28"/>
      <c r="G47" s="28">
        <v>190</v>
      </c>
    </row>
    <row r="48" spans="1:7" s="29" customFormat="1" ht="12.75" x14ac:dyDescent="0.2">
      <c r="A48" s="21">
        <v>40</v>
      </c>
      <c r="B48" s="21"/>
      <c r="C48" s="21"/>
      <c r="D48" s="21" t="s">
        <v>318</v>
      </c>
      <c r="E48" s="28"/>
      <c r="F48" s="28"/>
      <c r="G48" s="28">
        <v>270</v>
      </c>
    </row>
    <row r="49" spans="1:7" s="29" customFormat="1" ht="12.75" x14ac:dyDescent="0.2">
      <c r="A49" s="21">
        <v>41</v>
      </c>
      <c r="B49" s="21"/>
      <c r="C49" s="21"/>
      <c r="D49" s="21"/>
      <c r="E49" s="28"/>
      <c r="F49" s="28"/>
      <c r="G49" s="28"/>
    </row>
    <row r="50" spans="1:7" s="29" customFormat="1" ht="12.75" x14ac:dyDescent="0.2">
      <c r="A50" s="21">
        <v>42</v>
      </c>
      <c r="B50" s="21"/>
      <c r="C50" s="21"/>
      <c r="D50" s="21" t="s">
        <v>319</v>
      </c>
      <c r="E50" s="28"/>
      <c r="F50" s="28"/>
      <c r="G50" s="28">
        <v>48</v>
      </c>
    </row>
    <row r="51" spans="1:7" s="29" customFormat="1" ht="12.75" x14ac:dyDescent="0.2">
      <c r="A51" s="21">
        <v>43</v>
      </c>
      <c r="B51" s="21"/>
      <c r="C51" s="21"/>
      <c r="D51" s="21" t="s">
        <v>532</v>
      </c>
      <c r="E51" s="28"/>
      <c r="F51" s="28"/>
      <c r="G51" s="28">
        <v>27</v>
      </c>
    </row>
    <row r="52" spans="1:7" s="29" customFormat="1" ht="12.75" x14ac:dyDescent="0.2">
      <c r="A52" s="21">
        <v>44</v>
      </c>
      <c r="B52" s="21"/>
      <c r="C52" s="21"/>
      <c r="D52" s="21" t="s">
        <v>423</v>
      </c>
      <c r="E52" s="28"/>
      <c r="F52" s="28"/>
      <c r="G52" s="28">
        <v>30</v>
      </c>
    </row>
    <row r="53" spans="1:7" s="29" customFormat="1" ht="12.75" x14ac:dyDescent="0.2">
      <c r="A53" s="21">
        <v>45</v>
      </c>
      <c r="B53" s="21"/>
      <c r="C53" s="21"/>
      <c r="D53" s="21" t="s">
        <v>424</v>
      </c>
      <c r="E53" s="28"/>
      <c r="F53" s="28"/>
      <c r="G53" s="28">
        <v>50</v>
      </c>
    </row>
    <row r="54" spans="1:7" s="29" customFormat="1" ht="12.75" x14ac:dyDescent="0.2">
      <c r="A54" s="21">
        <v>46</v>
      </c>
      <c r="B54" s="21"/>
      <c r="C54" s="21"/>
      <c r="D54" s="21" t="s">
        <v>425</v>
      </c>
      <c r="E54" s="28"/>
      <c r="F54" s="28"/>
      <c r="G54" s="28"/>
    </row>
    <row r="55" spans="1:7" s="29" customFormat="1" ht="12.75" x14ac:dyDescent="0.2">
      <c r="A55" s="21">
        <v>47</v>
      </c>
      <c r="B55" s="21"/>
      <c r="C55" s="21"/>
      <c r="D55" s="21" t="s">
        <v>426</v>
      </c>
      <c r="E55" s="28"/>
      <c r="F55" s="28"/>
      <c r="G55" s="28"/>
    </row>
    <row r="56" spans="1:7" s="29" customFormat="1" ht="12.75" x14ac:dyDescent="0.2">
      <c r="A56" s="21">
        <v>48</v>
      </c>
      <c r="B56" s="21"/>
      <c r="C56" s="21"/>
      <c r="D56" s="21" t="s">
        <v>430</v>
      </c>
      <c r="E56" s="28"/>
      <c r="F56" s="28">
        <v>23</v>
      </c>
      <c r="G56" s="28"/>
    </row>
    <row r="57" spans="1:7" s="29" customFormat="1" ht="12.75" x14ac:dyDescent="0.2">
      <c r="A57" s="21">
        <v>49</v>
      </c>
      <c r="B57" s="21"/>
      <c r="C57" s="21"/>
      <c r="D57" s="21" t="s">
        <v>433</v>
      </c>
      <c r="E57" s="28"/>
      <c r="F57" s="28">
        <v>45</v>
      </c>
      <c r="G57" s="28"/>
    </row>
    <row r="58" spans="1:7" s="29" customFormat="1" ht="12.75" x14ac:dyDescent="0.2">
      <c r="A58" s="21">
        <v>50</v>
      </c>
      <c r="B58" s="21"/>
      <c r="C58" s="21"/>
      <c r="D58" s="21" t="s">
        <v>437</v>
      </c>
      <c r="E58" s="28"/>
      <c r="F58" s="28">
        <v>75</v>
      </c>
      <c r="G58" s="28"/>
    </row>
    <row r="59" spans="1:7" s="29" customFormat="1" ht="12.75" x14ac:dyDescent="0.2">
      <c r="A59" s="21">
        <v>51</v>
      </c>
      <c r="B59" s="21"/>
      <c r="C59" s="21"/>
      <c r="D59" s="21" t="s">
        <v>438</v>
      </c>
      <c r="E59" s="28"/>
      <c r="F59" s="28">
        <v>32</v>
      </c>
      <c r="G59" s="28"/>
    </row>
    <row r="60" spans="1:7" s="29" customFormat="1" ht="12.75" x14ac:dyDescent="0.2">
      <c r="A60" s="21">
        <v>52</v>
      </c>
      <c r="B60" s="21"/>
      <c r="C60" s="21"/>
      <c r="D60" s="21" t="s">
        <v>440</v>
      </c>
      <c r="E60" s="28"/>
      <c r="F60" s="28">
        <v>25</v>
      </c>
      <c r="G60" s="28"/>
    </row>
    <row r="61" spans="1:7" s="29" customFormat="1" ht="12.75" x14ac:dyDescent="0.2">
      <c r="A61" s="21"/>
      <c r="B61" s="21"/>
      <c r="C61" s="21"/>
      <c r="D61" s="21" t="s">
        <v>592</v>
      </c>
      <c r="E61" s="28"/>
      <c r="F61" s="28">
        <v>50</v>
      </c>
      <c r="G61" s="28"/>
    </row>
    <row r="62" spans="1:7" s="29" customFormat="1" ht="12.75" x14ac:dyDescent="0.2">
      <c r="A62" s="21">
        <v>53</v>
      </c>
      <c r="B62" s="21"/>
      <c r="C62" s="21"/>
      <c r="D62" s="21" t="s">
        <v>591</v>
      </c>
      <c r="E62" s="28"/>
      <c r="F62" s="28">
        <v>60</v>
      </c>
      <c r="G62" s="28"/>
    </row>
    <row r="63" spans="1:7" s="29" customFormat="1" ht="12.75" x14ac:dyDescent="0.2">
      <c r="A63" s="21">
        <v>54</v>
      </c>
      <c r="B63" s="21"/>
      <c r="C63" s="21"/>
      <c r="D63" s="21" t="s">
        <v>447</v>
      </c>
      <c r="E63" s="28"/>
      <c r="F63" s="28">
        <v>5</v>
      </c>
      <c r="G63" s="28">
        <v>105</v>
      </c>
    </row>
    <row r="64" spans="1:7" s="29" customFormat="1" ht="12.75" x14ac:dyDescent="0.2">
      <c r="A64" s="21">
        <v>55</v>
      </c>
      <c r="B64" s="21"/>
      <c r="C64" s="21"/>
      <c r="D64" s="21" t="s">
        <v>448</v>
      </c>
      <c r="E64" s="28"/>
      <c r="F64" s="28">
        <v>18</v>
      </c>
      <c r="G64" s="28"/>
    </row>
    <row r="65" spans="1:7" s="29" customFormat="1" ht="12.75" x14ac:dyDescent="0.2">
      <c r="A65" s="21">
        <v>56</v>
      </c>
      <c r="B65" s="21"/>
      <c r="C65" s="21"/>
      <c r="D65" s="21" t="s">
        <v>449</v>
      </c>
      <c r="E65" s="28"/>
      <c r="F65" s="28">
        <v>25</v>
      </c>
      <c r="G65" s="28"/>
    </row>
    <row r="66" spans="1:7" s="29" customFormat="1" ht="12.75" x14ac:dyDescent="0.2">
      <c r="A66" s="21">
        <v>57</v>
      </c>
      <c r="B66" s="21"/>
      <c r="C66" s="21"/>
      <c r="D66" s="21" t="s">
        <v>456</v>
      </c>
      <c r="E66" s="28">
        <v>48</v>
      </c>
      <c r="F66" s="28">
        <v>13</v>
      </c>
      <c r="G66" s="28">
        <v>520</v>
      </c>
    </row>
    <row r="67" spans="1:7" s="29" customFormat="1" ht="12.75" x14ac:dyDescent="0.2">
      <c r="A67" s="21"/>
      <c r="B67" s="21"/>
      <c r="C67" s="21"/>
      <c r="D67" s="21" t="s">
        <v>520</v>
      </c>
      <c r="E67" s="28"/>
      <c r="F67" s="28">
        <v>22</v>
      </c>
      <c r="G67" s="28"/>
    </row>
    <row r="68" spans="1:7" s="29" customFormat="1" ht="12.75" x14ac:dyDescent="0.2">
      <c r="A68" s="21"/>
      <c r="B68" s="21"/>
      <c r="C68" s="21"/>
      <c r="D68" s="21" t="s">
        <v>519</v>
      </c>
      <c r="E68" s="28"/>
      <c r="F68" s="28">
        <v>54</v>
      </c>
      <c r="G68" s="28"/>
    </row>
    <row r="69" spans="1:7" s="29" customFormat="1" ht="12.75" x14ac:dyDescent="0.2">
      <c r="A69" s="21"/>
      <c r="B69" s="21"/>
      <c r="C69" s="21"/>
      <c r="D69" s="21" t="s">
        <v>593</v>
      </c>
      <c r="E69" s="28"/>
      <c r="F69" s="28">
        <v>20</v>
      </c>
      <c r="G69" s="28"/>
    </row>
    <row r="70" spans="1:7" s="29" customFormat="1" ht="12.75" x14ac:dyDescent="0.2">
      <c r="A70" s="21">
        <v>58</v>
      </c>
      <c r="B70" s="21"/>
      <c r="C70" s="21"/>
      <c r="D70" s="21" t="s">
        <v>459</v>
      </c>
      <c r="E70" s="28"/>
      <c r="F70" s="28">
        <v>38</v>
      </c>
      <c r="G70" s="28"/>
    </row>
    <row r="71" spans="1:7" s="29" customFormat="1" ht="12.75" x14ac:dyDescent="0.2">
      <c r="A71" s="21"/>
      <c r="B71" s="21"/>
      <c r="C71" s="21"/>
      <c r="D71" s="21" t="s">
        <v>594</v>
      </c>
      <c r="E71" s="28">
        <v>12</v>
      </c>
      <c r="F71" s="28">
        <v>12</v>
      </c>
      <c r="G71" s="28">
        <v>135</v>
      </c>
    </row>
    <row r="72" spans="1:7" s="29" customFormat="1" ht="12.75" x14ac:dyDescent="0.2">
      <c r="A72" s="21">
        <v>59</v>
      </c>
      <c r="B72" s="21"/>
      <c r="C72" s="21"/>
      <c r="D72" s="21" t="s">
        <v>464</v>
      </c>
      <c r="E72" s="28">
        <v>24</v>
      </c>
      <c r="F72" s="28">
        <v>65</v>
      </c>
      <c r="G72" s="28">
        <v>135</v>
      </c>
    </row>
    <row r="73" spans="1:7" s="29" customFormat="1" ht="12.75" x14ac:dyDescent="0.2">
      <c r="A73" s="21">
        <v>60</v>
      </c>
      <c r="B73" s="21"/>
      <c r="C73" s="21"/>
      <c r="D73" s="21" t="s">
        <v>465</v>
      </c>
      <c r="E73" s="28">
        <v>40</v>
      </c>
      <c r="F73" s="28">
        <v>40</v>
      </c>
      <c r="G73" s="28">
        <v>135</v>
      </c>
    </row>
    <row r="74" spans="1:7" s="29" customFormat="1" ht="12.75" x14ac:dyDescent="0.2">
      <c r="A74" s="21"/>
      <c r="B74" s="21"/>
      <c r="C74" s="21"/>
      <c r="D74" s="21" t="s">
        <v>468</v>
      </c>
      <c r="E74" s="28">
        <v>24</v>
      </c>
      <c r="F74" s="28">
        <v>16</v>
      </c>
      <c r="G74" s="28">
        <v>380</v>
      </c>
    </row>
    <row r="75" spans="1:7" s="29" customFormat="1" ht="12.75" x14ac:dyDescent="0.2">
      <c r="A75" s="21"/>
      <c r="B75" s="21"/>
      <c r="C75" s="21"/>
      <c r="D75" s="21" t="s">
        <v>467</v>
      </c>
      <c r="E75" s="28">
        <v>24</v>
      </c>
      <c r="F75" s="28">
        <v>20</v>
      </c>
      <c r="G75" s="28">
        <v>430</v>
      </c>
    </row>
    <row r="76" spans="1:7" s="29" customFormat="1" ht="12.75" x14ac:dyDescent="0.2">
      <c r="A76" s="21">
        <v>63</v>
      </c>
      <c r="B76" s="21"/>
      <c r="C76" s="21"/>
      <c r="D76" s="21" t="s">
        <v>469</v>
      </c>
      <c r="E76" s="28"/>
      <c r="F76" s="28">
        <v>32</v>
      </c>
      <c r="G76" s="28">
        <v>360</v>
      </c>
    </row>
    <row r="77" spans="1:7" s="29" customFormat="1" ht="12.75" x14ac:dyDescent="0.2">
      <c r="A77" s="21">
        <v>64</v>
      </c>
      <c r="B77" s="21"/>
      <c r="C77" s="21"/>
      <c r="D77" s="21" t="s">
        <v>470</v>
      </c>
      <c r="E77" s="28"/>
      <c r="F77" s="28">
        <v>25</v>
      </c>
      <c r="G77" s="28">
        <v>300</v>
      </c>
    </row>
    <row r="78" spans="1:7" s="29" customFormat="1" ht="12.75" x14ac:dyDescent="0.2">
      <c r="A78" s="21">
        <v>65</v>
      </c>
      <c r="B78" s="21"/>
      <c r="C78" s="21"/>
      <c r="D78" s="21" t="s">
        <v>471</v>
      </c>
      <c r="E78" s="28">
        <v>15</v>
      </c>
      <c r="F78" s="28"/>
      <c r="G78" s="28">
        <v>375</v>
      </c>
    </row>
    <row r="79" spans="1:7" s="29" customFormat="1" ht="12.75" x14ac:dyDescent="0.2">
      <c r="A79" s="21">
        <v>66</v>
      </c>
      <c r="B79" s="21"/>
      <c r="C79" s="21"/>
      <c r="D79" s="21" t="s">
        <v>472</v>
      </c>
      <c r="E79" s="28"/>
      <c r="F79" s="28"/>
      <c r="G79" s="28">
        <v>210</v>
      </c>
    </row>
    <row r="80" spans="1:7" s="29" customFormat="1" ht="12.75" x14ac:dyDescent="0.2">
      <c r="A80" s="21">
        <v>67</v>
      </c>
      <c r="B80" s="21"/>
      <c r="C80" s="21"/>
      <c r="D80" s="21" t="s">
        <v>473</v>
      </c>
      <c r="E80" s="28"/>
      <c r="F80" s="28"/>
      <c r="G80" s="28">
        <v>210</v>
      </c>
    </row>
    <row r="81" spans="1:7" s="29" customFormat="1" ht="12.75" x14ac:dyDescent="0.2">
      <c r="A81" s="21">
        <v>68</v>
      </c>
      <c r="B81" s="21"/>
      <c r="C81" s="21"/>
      <c r="D81" s="21" t="s">
        <v>474</v>
      </c>
      <c r="E81" s="28"/>
      <c r="F81" s="28"/>
      <c r="G81" s="28">
        <v>180</v>
      </c>
    </row>
    <row r="82" spans="1:7" s="29" customFormat="1" ht="12.75" x14ac:dyDescent="0.2">
      <c r="A82" s="21">
        <v>69</v>
      </c>
      <c r="B82" s="21"/>
      <c r="C82" s="21"/>
      <c r="D82" s="21" t="s">
        <v>475</v>
      </c>
      <c r="E82" s="28"/>
      <c r="F82" s="28"/>
      <c r="G82" s="28"/>
    </row>
    <row r="83" spans="1:7" s="29" customFormat="1" ht="12.75" x14ac:dyDescent="0.2">
      <c r="A83" s="21">
        <v>70</v>
      </c>
      <c r="B83" s="21"/>
      <c r="C83" s="21"/>
      <c r="D83" s="21" t="s">
        <v>476</v>
      </c>
      <c r="E83" s="28"/>
      <c r="F83" s="28"/>
      <c r="G83" s="28">
        <v>180</v>
      </c>
    </row>
    <row r="84" spans="1:7" s="29" customFormat="1" ht="12.75" x14ac:dyDescent="0.2">
      <c r="A84" s="21">
        <v>71</v>
      </c>
      <c r="B84" s="21"/>
      <c r="C84" s="21"/>
      <c r="D84" s="21" t="s">
        <v>477</v>
      </c>
      <c r="E84" s="28"/>
      <c r="F84" s="28"/>
      <c r="G84" s="28">
        <v>10</v>
      </c>
    </row>
    <row r="85" spans="1:7" s="29" customFormat="1" ht="12.75" x14ac:dyDescent="0.2">
      <c r="A85" s="21">
        <v>72</v>
      </c>
      <c r="B85" s="21"/>
      <c r="C85" s="21"/>
      <c r="D85" s="21" t="s">
        <v>486</v>
      </c>
      <c r="E85" s="28"/>
      <c r="F85" s="28"/>
      <c r="G85" s="28">
        <v>230</v>
      </c>
    </row>
    <row r="86" spans="1:7" s="29" customFormat="1" ht="12.75" x14ac:dyDescent="0.2">
      <c r="A86" s="21">
        <v>73</v>
      </c>
      <c r="B86" s="21"/>
      <c r="C86" s="21"/>
      <c r="D86" s="21" t="s">
        <v>490</v>
      </c>
      <c r="E86" s="28"/>
      <c r="F86" s="28"/>
      <c r="G86" s="28">
        <v>45</v>
      </c>
    </row>
    <row r="87" spans="1:7" s="29" customFormat="1" ht="12.75" x14ac:dyDescent="0.2">
      <c r="A87" s="21">
        <v>74</v>
      </c>
      <c r="B87" s="21"/>
      <c r="C87" s="21"/>
      <c r="D87" s="21" t="s">
        <v>499</v>
      </c>
      <c r="E87" s="28"/>
      <c r="F87" s="28"/>
      <c r="G87" s="28">
        <v>315</v>
      </c>
    </row>
    <row r="88" spans="1:7" s="29" customFormat="1" ht="12.75" x14ac:dyDescent="0.2">
      <c r="A88" s="21">
        <v>75</v>
      </c>
      <c r="B88" s="21"/>
      <c r="C88" s="21"/>
      <c r="D88" s="21" t="s">
        <v>500</v>
      </c>
      <c r="E88" s="28"/>
      <c r="F88" s="28"/>
      <c r="G88" s="28">
        <v>290</v>
      </c>
    </row>
    <row r="89" spans="1:7" s="29" customFormat="1" ht="12.75" x14ac:dyDescent="0.2">
      <c r="A89" s="21">
        <v>76</v>
      </c>
      <c r="B89" s="21"/>
      <c r="C89" s="21"/>
      <c r="D89" s="21" t="s">
        <v>501</v>
      </c>
      <c r="E89" s="28"/>
      <c r="F89" s="28"/>
      <c r="G89" s="28">
        <v>270</v>
      </c>
    </row>
    <row r="90" spans="1:7" s="29" customFormat="1" ht="12.75" x14ac:dyDescent="0.2">
      <c r="A90" s="21">
        <v>77</v>
      </c>
      <c r="B90" s="21"/>
      <c r="C90" s="21"/>
      <c r="D90" s="21" t="s">
        <v>505</v>
      </c>
      <c r="E90" s="28"/>
      <c r="F90" s="28"/>
      <c r="G90" s="28">
        <v>100</v>
      </c>
    </row>
    <row r="91" spans="1:7" s="29" customFormat="1" ht="12.75" x14ac:dyDescent="0.2">
      <c r="A91" s="21">
        <v>78</v>
      </c>
      <c r="B91" s="21"/>
      <c r="C91" s="21"/>
      <c r="D91" s="21" t="s">
        <v>508</v>
      </c>
      <c r="E91" s="28"/>
      <c r="F91" s="28">
        <v>30</v>
      </c>
      <c r="G91" s="28">
        <v>28</v>
      </c>
    </row>
    <row r="92" spans="1:7" s="29" customFormat="1" ht="12.75" x14ac:dyDescent="0.2">
      <c r="A92" s="21">
        <v>79</v>
      </c>
      <c r="B92" s="21"/>
      <c r="C92" s="21"/>
      <c r="D92" s="21" t="s">
        <v>506</v>
      </c>
      <c r="E92" s="28"/>
      <c r="F92" s="28">
        <v>12</v>
      </c>
      <c r="G92" s="28">
        <v>360</v>
      </c>
    </row>
    <row r="93" spans="1:7" s="29" customFormat="1" ht="12.75" x14ac:dyDescent="0.2">
      <c r="A93" s="21">
        <v>80</v>
      </c>
      <c r="B93" s="21"/>
      <c r="C93" s="21"/>
      <c r="D93" s="21" t="s">
        <v>518</v>
      </c>
      <c r="E93" s="28">
        <v>12</v>
      </c>
      <c r="F93" s="28">
        <v>95</v>
      </c>
      <c r="G93" s="28"/>
    </row>
    <row r="94" spans="1:7" s="29" customFormat="1" ht="12.75" x14ac:dyDescent="0.2">
      <c r="A94" s="21">
        <v>81</v>
      </c>
      <c r="B94" s="21"/>
      <c r="C94" s="21"/>
      <c r="D94" s="21" t="s">
        <v>521</v>
      </c>
      <c r="E94" s="28"/>
      <c r="F94" s="28">
        <v>10</v>
      </c>
      <c r="G94" s="28"/>
    </row>
    <row r="95" spans="1:7" s="29" customFormat="1" ht="12.75" x14ac:dyDescent="0.2">
      <c r="A95" s="21">
        <v>82</v>
      </c>
      <c r="B95" s="21"/>
      <c r="C95" s="21"/>
      <c r="D95" s="21" t="s">
        <v>526</v>
      </c>
      <c r="E95" s="28"/>
      <c r="F95" s="28">
        <v>35</v>
      </c>
      <c r="G95" s="28"/>
    </row>
    <row r="96" spans="1:7" s="29" customFormat="1" ht="12.75" x14ac:dyDescent="0.2">
      <c r="A96" s="21"/>
      <c r="B96" s="21"/>
      <c r="C96" s="21"/>
      <c r="D96" s="21" t="s">
        <v>575</v>
      </c>
      <c r="E96" s="28"/>
      <c r="F96" s="28">
        <v>23</v>
      </c>
      <c r="G96" s="28"/>
    </row>
    <row r="97" spans="1:7" s="29" customFormat="1" ht="12.75" x14ac:dyDescent="0.2">
      <c r="A97" s="21">
        <v>83</v>
      </c>
      <c r="B97" s="21"/>
      <c r="C97" s="21"/>
      <c r="D97" s="21" t="s">
        <v>537</v>
      </c>
      <c r="E97" s="28"/>
      <c r="F97" s="28">
        <v>35</v>
      </c>
      <c r="G97" s="28"/>
    </row>
    <row r="98" spans="1:7" s="29" customFormat="1" ht="12.75" x14ac:dyDescent="0.2">
      <c r="A98" s="21">
        <v>84</v>
      </c>
      <c r="B98" s="21"/>
      <c r="C98" s="21"/>
      <c r="D98" s="21" t="s">
        <v>586</v>
      </c>
      <c r="E98" s="28"/>
      <c r="F98" s="28"/>
      <c r="G98" s="28" t="s">
        <v>587</v>
      </c>
    </row>
    <row r="99" spans="1:7" s="29" customFormat="1" ht="12.75" x14ac:dyDescent="0.2">
      <c r="A99" s="21">
        <v>85</v>
      </c>
      <c r="B99" s="21"/>
      <c r="C99" s="21"/>
      <c r="D99" s="21" t="s">
        <v>585</v>
      </c>
      <c r="E99" s="28"/>
      <c r="F99" s="28"/>
      <c r="G99" s="28">
        <v>230</v>
      </c>
    </row>
    <row r="100" spans="1:7" s="29" customFormat="1" ht="12.75" x14ac:dyDescent="0.2">
      <c r="A100" s="21">
        <v>86</v>
      </c>
      <c r="B100" s="21"/>
      <c r="C100" s="21"/>
      <c r="D100" s="21" t="s">
        <v>558</v>
      </c>
      <c r="E100" s="28">
        <v>12</v>
      </c>
      <c r="F100" s="28">
        <v>33</v>
      </c>
      <c r="G100" s="28">
        <v>375</v>
      </c>
    </row>
    <row r="101" spans="1:7" s="29" customFormat="1" ht="12.75" x14ac:dyDescent="0.2">
      <c r="A101" s="21">
        <v>87</v>
      </c>
      <c r="B101" s="21"/>
      <c r="C101" s="21"/>
      <c r="D101" s="21" t="s">
        <v>560</v>
      </c>
      <c r="E101" s="28"/>
      <c r="F101" s="28"/>
      <c r="G101" s="28">
        <v>230</v>
      </c>
    </row>
    <row r="102" spans="1:7" s="29" customFormat="1" ht="12.75" x14ac:dyDescent="0.2">
      <c r="A102" s="21">
        <v>88</v>
      </c>
      <c r="B102" s="21"/>
      <c r="C102" s="21"/>
      <c r="D102" s="21" t="s">
        <v>548</v>
      </c>
      <c r="E102" s="28"/>
      <c r="F102" s="28">
        <v>45</v>
      </c>
      <c r="G102" s="28">
        <v>42</v>
      </c>
    </row>
    <row r="103" spans="1:7" s="29" customFormat="1" ht="12.75" x14ac:dyDescent="0.2">
      <c r="A103" s="21">
        <v>89</v>
      </c>
      <c r="B103" s="21"/>
      <c r="C103" s="21"/>
      <c r="D103" s="21" t="s">
        <v>547</v>
      </c>
      <c r="E103" s="28"/>
      <c r="F103" s="28"/>
      <c r="G103" s="28">
        <v>115</v>
      </c>
    </row>
    <row r="104" spans="1:7" s="29" customFormat="1" ht="12.75" x14ac:dyDescent="0.2">
      <c r="A104" s="21">
        <v>90</v>
      </c>
      <c r="B104" s="21"/>
      <c r="C104" s="21"/>
      <c r="D104" s="21" t="s">
        <v>555</v>
      </c>
      <c r="E104" s="28"/>
      <c r="F104" s="28">
        <v>30</v>
      </c>
      <c r="G104" s="28"/>
    </row>
    <row r="105" spans="1:7" s="29" customFormat="1" ht="12.75" x14ac:dyDescent="0.2">
      <c r="A105" s="21">
        <v>91</v>
      </c>
      <c r="B105" s="21"/>
      <c r="C105" s="21"/>
      <c r="D105" s="21" t="s">
        <v>557</v>
      </c>
      <c r="E105" s="28"/>
      <c r="F105" s="28">
        <v>5</v>
      </c>
      <c r="G105" s="28">
        <v>40</v>
      </c>
    </row>
    <row r="106" spans="1:7" s="29" customFormat="1" ht="12.75" x14ac:dyDescent="0.2">
      <c r="A106" s="21">
        <v>92</v>
      </c>
      <c r="B106" s="21"/>
      <c r="C106" s="21"/>
      <c r="D106" s="21" t="s">
        <v>566</v>
      </c>
      <c r="E106" s="28"/>
      <c r="F106" s="28">
        <v>4</v>
      </c>
      <c r="G106" s="28">
        <v>420</v>
      </c>
    </row>
    <row r="107" spans="1:7" s="29" customFormat="1" ht="12.75" x14ac:dyDescent="0.2">
      <c r="A107" s="21">
        <v>93</v>
      </c>
      <c r="B107" s="21"/>
      <c r="C107" s="21"/>
      <c r="D107" s="21" t="s">
        <v>506</v>
      </c>
      <c r="E107" s="28"/>
      <c r="F107" s="28">
        <v>12</v>
      </c>
      <c r="G107" s="28">
        <v>360</v>
      </c>
    </row>
    <row r="108" spans="1:7" s="29" customFormat="1" ht="12.75" x14ac:dyDescent="0.2">
      <c r="A108" s="21">
        <v>94</v>
      </c>
      <c r="B108" s="21"/>
      <c r="C108" s="21"/>
      <c r="D108" s="21" t="s">
        <v>567</v>
      </c>
      <c r="E108" s="28"/>
      <c r="F108" s="28">
        <v>4</v>
      </c>
      <c r="G108" s="28">
        <v>590</v>
      </c>
    </row>
    <row r="109" spans="1:7" s="29" customFormat="1" ht="12.75" x14ac:dyDescent="0.2">
      <c r="A109" s="21">
        <v>95</v>
      </c>
      <c r="B109" s="21"/>
      <c r="C109" s="21"/>
      <c r="D109" s="21" t="s">
        <v>568</v>
      </c>
      <c r="E109" s="28"/>
      <c r="F109" s="28">
        <v>50</v>
      </c>
      <c r="G109" s="28"/>
    </row>
    <row r="110" spans="1:7" s="29" customFormat="1" ht="12.75" x14ac:dyDescent="0.2">
      <c r="A110" s="21">
        <v>96</v>
      </c>
      <c r="B110" s="21"/>
      <c r="C110" s="21"/>
      <c r="D110" s="21" t="s">
        <v>569</v>
      </c>
      <c r="E110" s="28"/>
      <c r="F110" s="28"/>
      <c r="G110" s="28"/>
    </row>
    <row r="111" spans="1:7" s="29" customFormat="1" ht="12.75" x14ac:dyDescent="0.2">
      <c r="A111" s="21">
        <v>97</v>
      </c>
      <c r="B111" s="21"/>
      <c r="C111" s="21"/>
      <c r="D111" s="21" t="s">
        <v>588</v>
      </c>
      <c r="E111" s="28"/>
      <c r="F111" s="28">
        <v>4</v>
      </c>
      <c r="G111" s="28">
        <v>50</v>
      </c>
    </row>
    <row r="112" spans="1:7" s="29" customFormat="1" ht="12.75" x14ac:dyDescent="0.2">
      <c r="A112" s="21">
        <v>98</v>
      </c>
      <c r="B112" s="21"/>
      <c r="C112" s="21"/>
      <c r="D112" s="21" t="s">
        <v>589</v>
      </c>
      <c r="E112" s="28"/>
      <c r="F112" s="28">
        <v>12</v>
      </c>
      <c r="G112" s="28">
        <v>135</v>
      </c>
    </row>
    <row r="113" spans="1:7" s="29" customFormat="1" ht="12.75" x14ac:dyDescent="0.2">
      <c r="A113" s="21">
        <v>99</v>
      </c>
      <c r="B113" s="21"/>
      <c r="C113" s="21"/>
      <c r="D113" s="21" t="s">
        <v>590</v>
      </c>
      <c r="E113" s="28"/>
      <c r="F113" s="28">
        <v>30</v>
      </c>
      <c r="G113" s="28"/>
    </row>
    <row r="114" spans="1:7" s="29" customFormat="1" ht="12.75" x14ac:dyDescent="0.2">
      <c r="A114" s="21">
        <v>100</v>
      </c>
      <c r="B114" s="21"/>
      <c r="C114" s="21"/>
      <c r="D114" s="21" t="s">
        <v>600</v>
      </c>
      <c r="E114" s="28"/>
      <c r="F114" s="28"/>
      <c r="G114" s="28">
        <v>100</v>
      </c>
    </row>
    <row r="115" spans="1:7" s="29" customFormat="1" ht="12.75" x14ac:dyDescent="0.2">
      <c r="A115" s="21">
        <v>101</v>
      </c>
      <c r="B115" s="21"/>
      <c r="C115" s="21"/>
      <c r="D115" s="21" t="s">
        <v>424</v>
      </c>
      <c r="E115" s="28"/>
      <c r="F115" s="28"/>
      <c r="G115" s="28">
        <v>50</v>
      </c>
    </row>
    <row r="116" spans="1:7" s="29" customFormat="1" ht="12.75" x14ac:dyDescent="0.2">
      <c r="A116" s="21">
        <v>102</v>
      </c>
      <c r="B116" s="21"/>
      <c r="C116" s="21"/>
      <c r="D116" s="21" t="s">
        <v>604</v>
      </c>
      <c r="E116" s="28"/>
      <c r="F116" s="28"/>
      <c r="G116" s="28">
        <v>100</v>
      </c>
    </row>
    <row r="117" spans="1:7" s="29" customFormat="1" ht="12.75" x14ac:dyDescent="0.2">
      <c r="A117" s="21">
        <v>103</v>
      </c>
      <c r="B117" s="21"/>
      <c r="C117" s="21"/>
      <c r="D117" s="21" t="s">
        <v>608</v>
      </c>
      <c r="E117" s="28"/>
      <c r="F117" s="28">
        <v>20</v>
      </c>
      <c r="G117" s="28"/>
    </row>
    <row r="118" spans="1:7" s="29" customFormat="1" ht="12.75" x14ac:dyDescent="0.2">
      <c r="A118" s="21">
        <v>104</v>
      </c>
      <c r="B118" s="21"/>
      <c r="C118" s="21"/>
      <c r="D118" s="21" t="s">
        <v>611</v>
      </c>
      <c r="E118" s="28"/>
      <c r="F118" s="28">
        <v>25</v>
      </c>
      <c r="G118" s="28"/>
    </row>
    <row r="119" spans="1:7" s="29" customFormat="1" ht="12.75" x14ac:dyDescent="0.2">
      <c r="A119" s="21">
        <v>105</v>
      </c>
      <c r="B119" s="21"/>
      <c r="C119" s="21"/>
      <c r="D119" s="21" t="s">
        <v>619</v>
      </c>
      <c r="E119" s="28">
        <v>36</v>
      </c>
      <c r="F119" s="28">
        <v>5</v>
      </c>
      <c r="G119" s="28">
        <v>145</v>
      </c>
    </row>
    <row r="120" spans="1:7" s="29" customFormat="1" ht="12.75" x14ac:dyDescent="0.2">
      <c r="A120" s="21">
        <v>106</v>
      </c>
      <c r="B120" s="21"/>
      <c r="C120" s="21"/>
      <c r="D120" s="21" t="s">
        <v>621</v>
      </c>
      <c r="E120" s="28"/>
      <c r="F120" s="28">
        <v>60</v>
      </c>
      <c r="G120" s="28"/>
    </row>
    <row r="121" spans="1:7" s="29" customFormat="1" ht="12.75" x14ac:dyDescent="0.2">
      <c r="A121" s="21">
        <v>107</v>
      </c>
      <c r="B121" s="21"/>
      <c r="C121" s="21"/>
      <c r="D121" s="21" t="s">
        <v>622</v>
      </c>
      <c r="E121" s="28">
        <v>12</v>
      </c>
      <c r="F121" s="28">
        <v>8</v>
      </c>
      <c r="G121" s="28">
        <v>95</v>
      </c>
    </row>
    <row r="122" spans="1:7" s="29" customFormat="1" ht="12.75" x14ac:dyDescent="0.2">
      <c r="A122" s="21">
        <v>108</v>
      </c>
      <c r="B122" s="21"/>
      <c r="C122" s="21"/>
      <c r="D122" s="21"/>
      <c r="E122" s="28"/>
      <c r="F122" s="28"/>
      <c r="G122" s="28"/>
    </row>
    <row r="123" spans="1:7" s="29" customFormat="1" ht="12.75" x14ac:dyDescent="0.2">
      <c r="A123" s="21">
        <v>109</v>
      </c>
      <c r="B123" s="21"/>
      <c r="C123" s="21"/>
      <c r="D123" s="21"/>
      <c r="E123" s="28"/>
      <c r="F123" s="28"/>
      <c r="G123" s="28"/>
    </row>
    <row r="124" spans="1:7" s="29" customFormat="1" ht="12.75" x14ac:dyDescent="0.2">
      <c r="A124" s="21">
        <v>110</v>
      </c>
      <c r="B124" s="21"/>
      <c r="C124" s="21"/>
      <c r="D124" s="21"/>
      <c r="E124" s="28"/>
      <c r="F124" s="28"/>
      <c r="G124" s="28"/>
    </row>
    <row r="125" spans="1:7" s="29" customFormat="1" ht="12.75" x14ac:dyDescent="0.2">
      <c r="A125" s="21">
        <v>111</v>
      </c>
      <c r="B125" s="21"/>
      <c r="C125" s="21"/>
      <c r="D125" s="21"/>
      <c r="E125" s="28"/>
      <c r="F125" s="28"/>
      <c r="G125" s="28"/>
    </row>
    <row r="126" spans="1:7" s="29" customFormat="1" ht="12.75" x14ac:dyDescent="0.2">
      <c r="A126" s="21">
        <v>112</v>
      </c>
      <c r="B126" s="21"/>
      <c r="C126" s="21"/>
      <c r="D126" s="21"/>
      <c r="E126" s="28"/>
      <c r="F126" s="28"/>
      <c r="G126" s="28"/>
    </row>
    <row r="127" spans="1:7" s="29" customFormat="1" ht="12.75" x14ac:dyDescent="0.2">
      <c r="A127" s="21">
        <v>113</v>
      </c>
      <c r="B127" s="21"/>
      <c r="C127" s="21"/>
      <c r="D127" s="21"/>
      <c r="E127" s="28"/>
      <c r="F127" s="28"/>
      <c r="G127" s="28"/>
    </row>
    <row r="128" spans="1:7" s="29" customFormat="1" ht="12.75" x14ac:dyDescent="0.2">
      <c r="A128" s="21">
        <v>114</v>
      </c>
      <c r="B128" s="21"/>
      <c r="C128" s="21"/>
      <c r="D128" s="21"/>
      <c r="E128" s="28"/>
      <c r="F128" s="28"/>
      <c r="G128" s="28"/>
    </row>
    <row r="129" spans="1:7" s="29" customFormat="1" ht="12.75" x14ac:dyDescent="0.2">
      <c r="A129" s="21">
        <v>115</v>
      </c>
      <c r="B129" s="21"/>
      <c r="C129" s="21"/>
      <c r="D129" s="21"/>
      <c r="E129" s="28"/>
      <c r="F129" s="28"/>
      <c r="G129" s="28"/>
    </row>
    <row r="130" spans="1:7" s="29" customFormat="1" ht="12.75" x14ac:dyDescent="0.2">
      <c r="A130" s="21">
        <v>116</v>
      </c>
      <c r="B130" s="21"/>
      <c r="C130" s="21"/>
      <c r="D130" s="21"/>
      <c r="E130" s="28"/>
      <c r="F130" s="28"/>
      <c r="G130" s="28"/>
    </row>
    <row r="131" spans="1:7" s="29" customFormat="1" ht="12.75" x14ac:dyDescent="0.2">
      <c r="A131" s="21">
        <v>117</v>
      </c>
      <c r="B131" s="21"/>
      <c r="C131" s="21"/>
      <c r="D131" s="21"/>
      <c r="E131" s="28"/>
      <c r="F131" s="28"/>
      <c r="G131" s="28"/>
    </row>
    <row r="132" spans="1:7" s="29" customFormat="1" ht="12.75" x14ac:dyDescent="0.2">
      <c r="A132" s="21">
        <v>118</v>
      </c>
      <c r="B132" s="21"/>
      <c r="C132" s="21"/>
      <c r="D132" s="21"/>
      <c r="E132" s="28"/>
      <c r="F132" s="28"/>
      <c r="G132" s="28"/>
    </row>
    <row r="133" spans="1:7" s="29" customFormat="1" ht="12.75" x14ac:dyDescent="0.2">
      <c r="A133" s="21">
        <v>119</v>
      </c>
      <c r="B133" s="21"/>
      <c r="C133" s="21"/>
      <c r="D133" s="21"/>
      <c r="E133" s="28"/>
      <c r="F133" s="28"/>
      <c r="G133" s="28"/>
    </row>
    <row r="134" spans="1:7" s="29" customFormat="1" ht="12.75" x14ac:dyDescent="0.2">
      <c r="A134" s="21">
        <v>120</v>
      </c>
      <c r="B134" s="21"/>
      <c r="C134" s="21"/>
      <c r="D134" s="21"/>
      <c r="E134" s="28"/>
      <c r="F134" s="28"/>
      <c r="G134" s="28"/>
    </row>
    <row r="135" spans="1:7" s="29" customFormat="1" ht="12.75" x14ac:dyDescent="0.2">
      <c r="A135" s="21">
        <v>121</v>
      </c>
      <c r="B135" s="21"/>
      <c r="C135" s="21"/>
      <c r="D135" s="21"/>
      <c r="E135" s="28"/>
      <c r="F135" s="28">
        <f>61.9*2</f>
        <v>123.8</v>
      </c>
      <c r="G135" s="28"/>
    </row>
    <row r="136" spans="1:7" s="29" customFormat="1" ht="12.75" x14ac:dyDescent="0.2">
      <c r="A136" s="21">
        <v>122</v>
      </c>
      <c r="B136" s="21"/>
      <c r="C136" s="21"/>
      <c r="D136" s="21"/>
      <c r="E136" s="28"/>
      <c r="F136" s="28"/>
      <c r="G136" s="28"/>
    </row>
    <row r="137" spans="1:7" s="29" customFormat="1" ht="12.75" x14ac:dyDescent="0.2">
      <c r="A137" s="21">
        <v>123</v>
      </c>
      <c r="B137" s="21"/>
      <c r="C137" s="21"/>
      <c r="D137" s="21"/>
      <c r="E137" s="28"/>
      <c r="F137" s="28"/>
      <c r="G137" s="28"/>
    </row>
    <row r="138" spans="1:7" s="29" customFormat="1" ht="12.75" x14ac:dyDescent="0.2">
      <c r="A138" s="21">
        <v>124</v>
      </c>
      <c r="B138" s="21"/>
      <c r="C138" s="21"/>
      <c r="D138" s="21"/>
      <c r="E138" s="28"/>
      <c r="F138" s="28"/>
      <c r="G138" s="28"/>
    </row>
    <row r="139" spans="1:7" s="29" customFormat="1" ht="12.75" x14ac:dyDescent="0.2">
      <c r="A139" s="21">
        <v>125</v>
      </c>
      <c r="B139" s="21"/>
      <c r="C139" s="21"/>
      <c r="D139" s="21"/>
      <c r="E139" s="28"/>
      <c r="F139" s="28"/>
      <c r="G139" s="28"/>
    </row>
    <row r="140" spans="1:7" s="29" customFormat="1" ht="12.75" x14ac:dyDescent="0.2">
      <c r="A140" s="21">
        <v>126</v>
      </c>
      <c r="B140" s="21"/>
      <c r="C140" s="21"/>
      <c r="D140" s="21"/>
      <c r="E140" s="28"/>
      <c r="F140" s="28"/>
      <c r="G140" s="28"/>
    </row>
    <row r="141" spans="1:7" s="29" customFormat="1" ht="12.75" x14ac:dyDescent="0.2">
      <c r="A141" s="21">
        <v>127</v>
      </c>
      <c r="B141" s="21"/>
      <c r="C141" s="21"/>
      <c r="D141" s="21"/>
      <c r="E141" s="28"/>
      <c r="F141" s="28"/>
      <c r="G141" s="28"/>
    </row>
    <row r="142" spans="1:7" s="29" customFormat="1" ht="12.75" x14ac:dyDescent="0.2">
      <c r="A142" s="21">
        <v>128</v>
      </c>
      <c r="B142" s="21"/>
      <c r="C142" s="21"/>
      <c r="D142" s="21"/>
      <c r="E142" s="28"/>
      <c r="F142" s="28"/>
      <c r="G142" s="28"/>
    </row>
    <row r="143" spans="1:7" x14ac:dyDescent="0.25">
      <c r="A143" s="4">
        <v>129</v>
      </c>
    </row>
    <row r="144" spans="1:7" x14ac:dyDescent="0.25">
      <c r="A144" s="4">
        <v>130</v>
      </c>
    </row>
    <row r="145" spans="1:1" x14ac:dyDescent="0.25">
      <c r="A145" s="4">
        <v>131</v>
      </c>
    </row>
    <row r="146" spans="1:1" x14ac:dyDescent="0.25">
      <c r="A146" s="4">
        <v>132</v>
      </c>
    </row>
    <row r="147" spans="1:1" x14ac:dyDescent="0.25">
      <c r="A147" s="4">
        <v>133</v>
      </c>
    </row>
    <row r="148" spans="1:1" x14ac:dyDescent="0.25">
      <c r="A148" s="4">
        <v>134</v>
      </c>
    </row>
    <row r="149" spans="1:1" x14ac:dyDescent="0.25">
      <c r="A149" s="4">
        <v>135</v>
      </c>
    </row>
    <row r="150" spans="1:1" x14ac:dyDescent="0.25">
      <c r="A150" s="4">
        <v>136</v>
      </c>
    </row>
    <row r="151" spans="1:1" x14ac:dyDescent="0.25">
      <c r="A151" s="4">
        <v>137</v>
      </c>
    </row>
    <row r="152" spans="1:1" x14ac:dyDescent="0.25">
      <c r="A152" s="4">
        <v>138</v>
      </c>
    </row>
    <row r="153" spans="1:1" x14ac:dyDescent="0.25">
      <c r="A153" s="4">
        <v>139</v>
      </c>
    </row>
    <row r="154" spans="1:1" x14ac:dyDescent="0.25">
      <c r="A154" s="4">
        <v>140</v>
      </c>
    </row>
    <row r="155" spans="1:1" x14ac:dyDescent="0.25">
      <c r="A155" s="4">
        <v>141</v>
      </c>
    </row>
    <row r="156" spans="1:1" x14ac:dyDescent="0.25">
      <c r="A156" s="4">
        <v>142</v>
      </c>
    </row>
    <row r="157" spans="1:1" x14ac:dyDescent="0.25">
      <c r="A157" s="4">
        <v>143</v>
      </c>
    </row>
    <row r="158" spans="1:1" x14ac:dyDescent="0.25">
      <c r="A158" s="4">
        <v>144</v>
      </c>
    </row>
    <row r="159" spans="1:1" x14ac:dyDescent="0.25">
      <c r="A159" s="4">
        <v>145</v>
      </c>
    </row>
    <row r="160" spans="1:1" x14ac:dyDescent="0.25">
      <c r="A160" s="4">
        <v>146</v>
      </c>
    </row>
    <row r="161" spans="1:1" x14ac:dyDescent="0.25">
      <c r="A161" s="4">
        <v>147</v>
      </c>
    </row>
    <row r="162" spans="1:1" x14ac:dyDescent="0.25">
      <c r="A162" s="4">
        <v>148</v>
      </c>
    </row>
    <row r="163" spans="1:1" x14ac:dyDescent="0.25">
      <c r="A163" s="4">
        <v>149</v>
      </c>
    </row>
    <row r="164" spans="1:1" x14ac:dyDescent="0.25">
      <c r="A164" s="4">
        <v>150</v>
      </c>
    </row>
    <row r="165" spans="1:1" x14ac:dyDescent="0.25">
      <c r="A165" s="4">
        <v>151</v>
      </c>
    </row>
    <row r="166" spans="1:1" x14ac:dyDescent="0.25">
      <c r="A166" s="4">
        <v>152</v>
      </c>
    </row>
    <row r="167" spans="1:1" x14ac:dyDescent="0.25">
      <c r="A167" s="4">
        <v>153</v>
      </c>
    </row>
    <row r="168" spans="1:1" x14ac:dyDescent="0.25">
      <c r="A168" s="4">
        <v>154</v>
      </c>
    </row>
    <row r="169" spans="1:1" x14ac:dyDescent="0.25">
      <c r="A169" s="4">
        <v>155</v>
      </c>
    </row>
    <row r="170" spans="1:1" x14ac:dyDescent="0.25">
      <c r="A170" s="4">
        <v>156</v>
      </c>
    </row>
    <row r="171" spans="1:1" x14ac:dyDescent="0.25">
      <c r="A171" s="4">
        <v>157</v>
      </c>
    </row>
    <row r="172" spans="1:1" x14ac:dyDescent="0.25">
      <c r="A172" s="4">
        <v>158</v>
      </c>
    </row>
    <row r="173" spans="1:1" x14ac:dyDescent="0.25">
      <c r="A173" s="4">
        <v>159</v>
      </c>
    </row>
    <row r="174" spans="1:1" x14ac:dyDescent="0.25">
      <c r="A174" s="4">
        <v>160</v>
      </c>
    </row>
    <row r="175" spans="1:1" x14ac:dyDescent="0.25">
      <c r="A175" s="4">
        <v>161</v>
      </c>
    </row>
    <row r="176" spans="1:1" x14ac:dyDescent="0.25">
      <c r="A176" s="4">
        <v>162</v>
      </c>
    </row>
    <row r="177" spans="1:1" x14ac:dyDescent="0.25">
      <c r="A177" s="4">
        <v>163</v>
      </c>
    </row>
    <row r="178" spans="1:1" x14ac:dyDescent="0.25">
      <c r="A178" s="4">
        <v>164</v>
      </c>
    </row>
    <row r="179" spans="1:1" x14ac:dyDescent="0.25">
      <c r="A179" s="4">
        <v>165</v>
      </c>
    </row>
    <row r="180" spans="1:1" x14ac:dyDescent="0.25">
      <c r="A180" s="4">
        <v>166</v>
      </c>
    </row>
    <row r="181" spans="1:1" x14ac:dyDescent="0.25">
      <c r="A181" s="4">
        <v>167</v>
      </c>
    </row>
    <row r="182" spans="1:1" x14ac:dyDescent="0.25">
      <c r="A182" s="4">
        <v>168</v>
      </c>
    </row>
    <row r="183" spans="1:1" x14ac:dyDescent="0.25">
      <c r="A183" s="4">
        <v>169</v>
      </c>
    </row>
    <row r="184" spans="1:1" x14ac:dyDescent="0.25">
      <c r="A184" s="4">
        <v>170</v>
      </c>
    </row>
    <row r="185" spans="1:1" x14ac:dyDescent="0.25">
      <c r="A185" s="4">
        <v>171</v>
      </c>
    </row>
    <row r="186" spans="1:1" x14ac:dyDescent="0.25">
      <c r="A186" s="4">
        <v>172</v>
      </c>
    </row>
    <row r="187" spans="1:1" x14ac:dyDescent="0.25">
      <c r="A187" s="4">
        <v>173</v>
      </c>
    </row>
    <row r="188" spans="1:1" x14ac:dyDescent="0.25">
      <c r="A188" s="4">
        <v>174</v>
      </c>
    </row>
    <row r="189" spans="1:1" x14ac:dyDescent="0.25">
      <c r="A189" s="4">
        <v>175</v>
      </c>
    </row>
    <row r="190" spans="1:1" x14ac:dyDescent="0.25">
      <c r="A190" s="4">
        <v>176</v>
      </c>
    </row>
    <row r="191" spans="1:1" x14ac:dyDescent="0.25">
      <c r="A191" s="4">
        <v>177</v>
      </c>
    </row>
    <row r="192" spans="1:1" x14ac:dyDescent="0.25">
      <c r="A192" s="4">
        <v>178</v>
      </c>
    </row>
    <row r="193" spans="1:1" x14ac:dyDescent="0.25">
      <c r="A193" s="4">
        <v>179</v>
      </c>
    </row>
    <row r="194" spans="1:1" x14ac:dyDescent="0.25">
      <c r="A194" s="4">
        <v>180</v>
      </c>
    </row>
    <row r="195" spans="1:1" x14ac:dyDescent="0.25">
      <c r="A195" s="4">
        <v>181</v>
      </c>
    </row>
    <row r="196" spans="1:1" x14ac:dyDescent="0.25">
      <c r="A196" s="4">
        <v>182</v>
      </c>
    </row>
    <row r="197" spans="1:1" x14ac:dyDescent="0.25">
      <c r="A197" s="4">
        <v>183</v>
      </c>
    </row>
    <row r="198" spans="1:1" x14ac:dyDescent="0.25">
      <c r="A198" s="4">
        <v>184</v>
      </c>
    </row>
    <row r="199" spans="1:1" x14ac:dyDescent="0.25">
      <c r="A199" s="4">
        <v>185</v>
      </c>
    </row>
    <row r="200" spans="1:1" x14ac:dyDescent="0.25">
      <c r="A200" s="4">
        <v>186</v>
      </c>
    </row>
    <row r="201" spans="1:1" x14ac:dyDescent="0.25">
      <c r="A201" s="4">
        <v>187</v>
      </c>
    </row>
    <row r="202" spans="1:1" x14ac:dyDescent="0.25">
      <c r="A202" s="4">
        <v>188</v>
      </c>
    </row>
    <row r="203" spans="1:1" x14ac:dyDescent="0.25">
      <c r="A203" s="4">
        <v>189</v>
      </c>
    </row>
    <row r="204" spans="1:1" x14ac:dyDescent="0.25">
      <c r="A204" s="4">
        <v>190</v>
      </c>
    </row>
    <row r="205" spans="1:1" x14ac:dyDescent="0.25">
      <c r="A205" s="4">
        <v>191</v>
      </c>
    </row>
    <row r="206" spans="1:1" x14ac:dyDescent="0.25">
      <c r="A206" s="4">
        <v>192</v>
      </c>
    </row>
    <row r="207" spans="1:1" x14ac:dyDescent="0.25">
      <c r="A207" s="4">
        <v>193</v>
      </c>
    </row>
    <row r="208" spans="1:1" x14ac:dyDescent="0.25">
      <c r="A208" s="4">
        <v>194</v>
      </c>
    </row>
  </sheetData>
  <mergeCells count="5">
    <mergeCell ref="G1:G5"/>
    <mergeCell ref="A3:C3"/>
    <mergeCell ref="A4:C4"/>
    <mergeCell ref="A5:C5"/>
    <mergeCell ref="A1:F2"/>
  </mergeCells>
  <phoneticPr fontId="7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1E681-D68B-4200-93BA-B792C5E12669}">
  <sheetPr codeName="Hoja1" filterMode="1"/>
  <dimension ref="A1:H162"/>
  <sheetViews>
    <sheetView showGridLines="0" zoomScale="149" zoomScaleNormal="149" workbookViewId="0">
      <pane xSplit="7" ySplit="6" topLeftCell="H119" activePane="bottomRight" state="frozen"/>
      <selection pane="topRight" activeCell="H1" sqref="H1"/>
      <selection pane="bottomLeft" activeCell="A7" sqref="A7"/>
      <selection pane="bottomRight" activeCell="G122" sqref="G122"/>
    </sheetView>
  </sheetViews>
  <sheetFormatPr baseColWidth="10" defaultRowHeight="15" x14ac:dyDescent="0.25"/>
  <cols>
    <col min="1" max="1" width="4.28515625" style="5" bestFit="1" customWidth="1"/>
    <col min="2" max="2" width="11.140625" style="4" bestFit="1" customWidth="1"/>
    <col min="3" max="3" width="16.42578125" style="4" customWidth="1"/>
    <col min="4" max="4" width="39.85546875" style="4" customWidth="1"/>
    <col min="5" max="5" width="14" style="5" customWidth="1"/>
    <col min="6" max="6" width="14.7109375" style="5" customWidth="1"/>
    <col min="7" max="7" width="25.140625" style="5" customWidth="1"/>
    <col min="8" max="16384" width="11.42578125" style="1"/>
  </cols>
  <sheetData>
    <row r="1" spans="1:7" ht="47.25" customHeight="1" x14ac:dyDescent="0.25">
      <c r="A1" s="36" t="s">
        <v>8</v>
      </c>
      <c r="B1" s="37"/>
      <c r="C1" s="37"/>
      <c r="D1" s="37"/>
      <c r="E1" s="37"/>
      <c r="F1" s="37"/>
      <c r="G1" s="52"/>
    </row>
    <row r="2" spans="1:7" customFormat="1" ht="15" customHeight="1" thickBot="1" x14ac:dyDescent="0.3">
      <c r="A2" s="39"/>
      <c r="B2" s="40"/>
      <c r="C2" s="40"/>
      <c r="D2" s="60"/>
      <c r="E2" s="60"/>
      <c r="F2" s="60"/>
      <c r="G2" s="53"/>
    </row>
    <row r="3" spans="1:7" customFormat="1" ht="22.5" customHeight="1" thickTop="1" thickBot="1" x14ac:dyDescent="0.3">
      <c r="A3" s="63" t="s">
        <v>24</v>
      </c>
      <c r="B3" s="64"/>
      <c r="C3" s="65"/>
      <c r="D3" s="7"/>
      <c r="E3" s="8"/>
      <c r="F3" s="17"/>
      <c r="G3" s="53"/>
    </row>
    <row r="4" spans="1:7" ht="15.75" thickTop="1" x14ac:dyDescent="0.25">
      <c r="A4" s="62"/>
      <c r="B4" s="58"/>
      <c r="C4" s="58"/>
      <c r="D4" s="3"/>
      <c r="E4" s="3"/>
      <c r="F4" s="3"/>
      <c r="G4" s="53"/>
    </row>
    <row r="5" spans="1:7" ht="15.75" customHeight="1" thickBot="1" x14ac:dyDescent="0.3">
      <c r="A5" s="61" t="s">
        <v>6</v>
      </c>
      <c r="B5" s="59"/>
      <c r="C5" s="59"/>
      <c r="D5" s="10" t="s">
        <v>7</v>
      </c>
      <c r="E5" s="11" t="s">
        <v>23</v>
      </c>
      <c r="F5" s="14" t="s">
        <v>22</v>
      </c>
      <c r="G5" s="54"/>
    </row>
    <row r="6" spans="1:7" s="2" customFormat="1" ht="27.75" customHeight="1" thickBot="1" x14ac:dyDescent="0.3">
      <c r="A6" s="12" t="s">
        <v>5</v>
      </c>
      <c r="B6" s="13" t="s">
        <v>0</v>
      </c>
      <c r="C6" s="13" t="s">
        <v>1</v>
      </c>
      <c r="D6" s="13" t="s">
        <v>2</v>
      </c>
      <c r="E6" s="13" t="s">
        <v>14</v>
      </c>
      <c r="F6" s="13" t="s">
        <v>3</v>
      </c>
      <c r="G6" s="15" t="s">
        <v>4</v>
      </c>
    </row>
    <row r="7" spans="1:7" s="29" customFormat="1" ht="12.75" x14ac:dyDescent="0.2">
      <c r="A7" s="30">
        <v>1</v>
      </c>
      <c r="B7" s="31"/>
      <c r="C7" s="31" t="s">
        <v>9</v>
      </c>
      <c r="D7" s="31" t="s">
        <v>391</v>
      </c>
      <c r="E7" s="30">
        <v>12</v>
      </c>
      <c r="F7" s="30">
        <v>20</v>
      </c>
      <c r="G7" s="30">
        <v>230</v>
      </c>
    </row>
    <row r="8" spans="1:7" s="29" customFormat="1" ht="12.75" x14ac:dyDescent="0.2">
      <c r="A8" s="30">
        <v>2</v>
      </c>
      <c r="B8" s="21"/>
      <c r="C8" s="21" t="s">
        <v>9</v>
      </c>
      <c r="D8" s="21" t="s">
        <v>392</v>
      </c>
      <c r="E8" s="28">
        <v>12</v>
      </c>
      <c r="F8" s="28">
        <v>12</v>
      </c>
      <c r="G8" s="28">
        <v>130</v>
      </c>
    </row>
    <row r="9" spans="1:7" s="29" customFormat="1" ht="12.75" x14ac:dyDescent="0.2">
      <c r="A9" s="30">
        <v>3</v>
      </c>
      <c r="B9" s="21"/>
      <c r="C9" s="21" t="s">
        <v>9</v>
      </c>
      <c r="D9" s="21" t="s">
        <v>10</v>
      </c>
      <c r="E9" s="28">
        <v>12</v>
      </c>
      <c r="F9" s="28">
        <v>25</v>
      </c>
      <c r="G9" s="28">
        <v>270</v>
      </c>
    </row>
    <row r="10" spans="1:7" s="29" customFormat="1" ht="12.75" x14ac:dyDescent="0.2">
      <c r="A10" s="30">
        <v>4</v>
      </c>
      <c r="B10" s="21"/>
      <c r="C10" s="21" t="s">
        <v>9</v>
      </c>
      <c r="D10" s="21" t="s">
        <v>11</v>
      </c>
      <c r="E10" s="28">
        <v>12</v>
      </c>
      <c r="F10" s="28">
        <v>25</v>
      </c>
      <c r="G10" s="28">
        <v>275</v>
      </c>
    </row>
    <row r="11" spans="1:7" s="29" customFormat="1" ht="12.75" x14ac:dyDescent="0.2">
      <c r="A11" s="30">
        <v>5</v>
      </c>
      <c r="B11" s="21"/>
      <c r="C11" s="21" t="s">
        <v>9</v>
      </c>
      <c r="D11" s="21" t="s">
        <v>12</v>
      </c>
      <c r="E11" s="28">
        <v>12</v>
      </c>
      <c r="F11" s="28">
        <v>25</v>
      </c>
      <c r="G11" s="28">
        <v>270</v>
      </c>
    </row>
    <row r="12" spans="1:7" s="29" customFormat="1" ht="12.75" x14ac:dyDescent="0.2">
      <c r="A12" s="30">
        <v>6</v>
      </c>
      <c r="B12" s="21"/>
      <c r="C12" s="21" t="s">
        <v>9</v>
      </c>
      <c r="D12" s="21" t="s">
        <v>13</v>
      </c>
      <c r="E12" s="28">
        <v>12</v>
      </c>
      <c r="F12" s="28">
        <v>25</v>
      </c>
      <c r="G12" s="28">
        <v>270</v>
      </c>
    </row>
    <row r="13" spans="1:7" s="29" customFormat="1" ht="12.75" x14ac:dyDescent="0.2">
      <c r="A13" s="30">
        <v>1</v>
      </c>
      <c r="B13" s="21"/>
      <c r="C13" s="21" t="s">
        <v>581</v>
      </c>
      <c r="D13" s="21" t="s">
        <v>268</v>
      </c>
      <c r="E13" s="28">
        <v>12</v>
      </c>
      <c r="F13" s="28">
        <v>24</v>
      </c>
      <c r="G13" s="28"/>
    </row>
    <row r="14" spans="1:7" s="29" customFormat="1" ht="12.75" x14ac:dyDescent="0.2">
      <c r="A14" s="30">
        <v>1</v>
      </c>
      <c r="B14" s="21"/>
      <c r="C14" s="21" t="s">
        <v>9</v>
      </c>
      <c r="D14" s="21" t="s">
        <v>295</v>
      </c>
      <c r="E14" s="28">
        <v>12</v>
      </c>
      <c r="F14" s="28">
        <v>12</v>
      </c>
      <c r="G14" s="28">
        <v>145</v>
      </c>
    </row>
    <row r="15" spans="1:7" s="29" customFormat="1" ht="12.75" x14ac:dyDescent="0.2">
      <c r="A15" s="30">
        <v>1</v>
      </c>
      <c r="B15" s="21"/>
      <c r="C15" s="21" t="s">
        <v>9</v>
      </c>
      <c r="D15" s="21" t="s">
        <v>296</v>
      </c>
      <c r="E15" s="28">
        <v>6</v>
      </c>
      <c r="F15" s="28">
        <v>25</v>
      </c>
      <c r="G15" s="28">
        <v>135</v>
      </c>
    </row>
    <row r="16" spans="1:7" s="29" customFormat="1" ht="12.75" x14ac:dyDescent="0.2">
      <c r="A16" s="30">
        <v>1</v>
      </c>
      <c r="B16" s="21"/>
      <c r="C16" s="21" t="s">
        <v>9</v>
      </c>
      <c r="D16" s="21" t="s">
        <v>297</v>
      </c>
      <c r="E16" s="28">
        <v>12</v>
      </c>
      <c r="F16" s="28">
        <v>65</v>
      </c>
      <c r="G16" s="28"/>
    </row>
    <row r="17" spans="1:7" s="29" customFormat="1" ht="12.75" x14ac:dyDescent="0.2">
      <c r="A17" s="30"/>
      <c r="B17" s="21"/>
      <c r="C17" s="21" t="s">
        <v>607</v>
      </c>
      <c r="D17" s="21" t="s">
        <v>606</v>
      </c>
      <c r="E17" s="28"/>
      <c r="F17" s="28">
        <v>55</v>
      </c>
      <c r="G17" s="28"/>
    </row>
    <row r="18" spans="1:7" s="29" customFormat="1" ht="12.75" x14ac:dyDescent="0.2">
      <c r="A18" s="30">
        <v>1</v>
      </c>
      <c r="B18" s="21"/>
      <c r="C18" s="21" t="s">
        <v>9</v>
      </c>
      <c r="D18" s="21" t="s">
        <v>15</v>
      </c>
      <c r="E18" s="28">
        <v>12</v>
      </c>
      <c r="F18" s="28"/>
      <c r="G18" s="28"/>
    </row>
    <row r="19" spans="1:7" s="29" customFormat="1" ht="12.75" x14ac:dyDescent="0.2">
      <c r="A19" s="30">
        <v>1</v>
      </c>
      <c r="B19" s="21"/>
      <c r="C19" s="21" t="s">
        <v>9</v>
      </c>
      <c r="D19" s="21" t="s">
        <v>15</v>
      </c>
      <c r="E19" s="28"/>
      <c r="F19" s="28"/>
      <c r="G19" s="28"/>
    </row>
    <row r="20" spans="1:7" s="29" customFormat="1" ht="12.75" x14ac:dyDescent="0.2">
      <c r="A20" s="28">
        <v>14</v>
      </c>
      <c r="B20" s="21"/>
      <c r="C20" s="21" t="s">
        <v>9</v>
      </c>
      <c r="D20" s="21" t="s">
        <v>15</v>
      </c>
      <c r="E20" s="28">
        <v>12</v>
      </c>
      <c r="F20" s="28"/>
      <c r="G20" s="28"/>
    </row>
    <row r="21" spans="1:7" s="29" customFormat="1" ht="12.75" x14ac:dyDescent="0.2">
      <c r="A21" s="28">
        <v>15</v>
      </c>
      <c r="B21" s="21"/>
      <c r="C21" s="21" t="s">
        <v>9</v>
      </c>
      <c r="D21" s="21" t="s">
        <v>15</v>
      </c>
      <c r="E21" s="28">
        <v>12</v>
      </c>
      <c r="F21" s="28"/>
      <c r="G21" s="28"/>
    </row>
    <row r="22" spans="1:7" s="29" customFormat="1" ht="12.75" x14ac:dyDescent="0.2">
      <c r="A22" s="28">
        <v>16</v>
      </c>
      <c r="B22" s="21"/>
      <c r="C22" s="21" t="s">
        <v>9</v>
      </c>
      <c r="D22" s="21" t="s">
        <v>15</v>
      </c>
      <c r="E22" s="28">
        <v>12</v>
      </c>
      <c r="F22" s="28"/>
      <c r="G22" s="28"/>
    </row>
    <row r="23" spans="1:7" s="29" customFormat="1" ht="12.75" x14ac:dyDescent="0.2">
      <c r="A23" s="28">
        <v>17</v>
      </c>
      <c r="B23" s="21"/>
      <c r="C23" s="21" t="s">
        <v>9</v>
      </c>
      <c r="D23" s="21" t="s">
        <v>15</v>
      </c>
      <c r="E23" s="28">
        <v>12</v>
      </c>
      <c r="F23" s="28"/>
      <c r="G23" s="28"/>
    </row>
    <row r="24" spans="1:7" s="29" customFormat="1" ht="12.75" x14ac:dyDescent="0.2">
      <c r="A24" s="28">
        <v>18</v>
      </c>
      <c r="B24" s="21"/>
      <c r="C24" s="21" t="s">
        <v>9</v>
      </c>
      <c r="D24" s="21" t="s">
        <v>16</v>
      </c>
      <c r="E24" s="28"/>
      <c r="F24" s="28"/>
      <c r="G24" s="28"/>
    </row>
    <row r="25" spans="1:7" s="29" customFormat="1" ht="12.75" x14ac:dyDescent="0.2">
      <c r="A25" s="28">
        <v>19</v>
      </c>
      <c r="B25" s="21"/>
      <c r="C25" s="21" t="s">
        <v>9</v>
      </c>
      <c r="D25" s="21" t="s">
        <v>264</v>
      </c>
      <c r="E25" s="28"/>
      <c r="F25" s="28">
        <v>75</v>
      </c>
      <c r="G25" s="28"/>
    </row>
    <row r="26" spans="1:7" s="29" customFormat="1" ht="12.75" x14ac:dyDescent="0.2">
      <c r="A26" s="28">
        <v>20</v>
      </c>
      <c r="B26" s="21"/>
      <c r="C26" s="21" t="s">
        <v>9</v>
      </c>
      <c r="D26" s="21" t="s">
        <v>265</v>
      </c>
      <c r="E26" s="28"/>
      <c r="F26" s="28">
        <v>35</v>
      </c>
      <c r="G26" s="28">
        <v>200</v>
      </c>
    </row>
    <row r="27" spans="1:7" s="29" customFormat="1" ht="12.75" x14ac:dyDescent="0.2">
      <c r="A27" s="28">
        <v>21</v>
      </c>
      <c r="B27" s="21"/>
      <c r="C27" s="21" t="s">
        <v>9</v>
      </c>
      <c r="D27" s="21" t="s">
        <v>266</v>
      </c>
      <c r="E27" s="28"/>
      <c r="F27" s="28">
        <v>20</v>
      </c>
      <c r="G27" s="28">
        <v>210</v>
      </c>
    </row>
    <row r="28" spans="1:7" s="29" customFormat="1" ht="12.75" x14ac:dyDescent="0.2">
      <c r="A28" s="28">
        <v>22</v>
      </c>
      <c r="B28" s="21"/>
      <c r="C28" s="21" t="s">
        <v>9</v>
      </c>
      <c r="D28" s="21" t="s">
        <v>17</v>
      </c>
      <c r="E28" s="28"/>
      <c r="F28" s="28"/>
      <c r="G28" s="28"/>
    </row>
    <row r="29" spans="1:7" s="29" customFormat="1" ht="12.75" x14ac:dyDescent="0.2">
      <c r="A29" s="28">
        <v>23</v>
      </c>
      <c r="B29" s="21"/>
      <c r="C29" s="21" t="s">
        <v>9</v>
      </c>
      <c r="D29" s="21" t="s">
        <v>18</v>
      </c>
      <c r="E29" s="28"/>
      <c r="F29" s="28"/>
      <c r="G29" s="28"/>
    </row>
    <row r="30" spans="1:7" s="29" customFormat="1" ht="12.75" x14ac:dyDescent="0.2">
      <c r="A30" s="28">
        <v>24</v>
      </c>
      <c r="B30" s="21"/>
      <c r="C30" s="21"/>
      <c r="D30" s="21" t="s">
        <v>19</v>
      </c>
      <c r="E30" s="28"/>
      <c r="F30" s="28"/>
      <c r="G30" s="28"/>
    </row>
    <row r="31" spans="1:7" s="29" customFormat="1" ht="12.75" x14ac:dyDescent="0.2">
      <c r="A31" s="28">
        <v>25</v>
      </c>
      <c r="B31" s="21"/>
      <c r="C31" s="21" t="s">
        <v>9</v>
      </c>
      <c r="D31" s="21" t="s">
        <v>21</v>
      </c>
      <c r="E31" s="28"/>
      <c r="F31" s="28">
        <v>22</v>
      </c>
      <c r="G31" s="28"/>
    </row>
    <row r="32" spans="1:7" s="29" customFormat="1" ht="12.75" x14ac:dyDescent="0.2">
      <c r="A32" s="28">
        <v>26</v>
      </c>
      <c r="B32" s="21"/>
      <c r="C32" s="21" t="s">
        <v>9</v>
      </c>
      <c r="D32" s="21" t="s">
        <v>20</v>
      </c>
      <c r="E32" s="28"/>
      <c r="F32" s="28">
        <v>22</v>
      </c>
      <c r="G32" s="28"/>
    </row>
    <row r="33" spans="1:7" s="29" customFormat="1" ht="12.75" x14ac:dyDescent="0.2">
      <c r="A33" s="28">
        <v>27</v>
      </c>
      <c r="B33" s="21"/>
      <c r="C33" s="21" t="s">
        <v>9</v>
      </c>
      <c r="D33" s="21" t="s">
        <v>17</v>
      </c>
      <c r="E33" s="28"/>
      <c r="F33" s="28"/>
      <c r="G33" s="28"/>
    </row>
    <row r="34" spans="1:7" s="29" customFormat="1" ht="12.75" x14ac:dyDescent="0.2">
      <c r="A34" s="28">
        <v>27</v>
      </c>
      <c r="B34" s="21"/>
      <c r="C34" s="21" t="s">
        <v>9</v>
      </c>
      <c r="D34" s="21" t="s">
        <v>17</v>
      </c>
      <c r="E34" s="28"/>
      <c r="F34" s="28"/>
      <c r="G34" s="28"/>
    </row>
    <row r="35" spans="1:7" hidden="1" x14ac:dyDescent="0.25">
      <c r="A35" s="4">
        <v>29</v>
      </c>
      <c r="F35" s="4"/>
      <c r="G35" s="4"/>
    </row>
    <row r="36" spans="1:7" hidden="1" x14ac:dyDescent="0.25">
      <c r="A36" s="4">
        <v>30</v>
      </c>
      <c r="F36" s="4"/>
      <c r="G36" s="4"/>
    </row>
    <row r="37" spans="1:7" hidden="1" x14ac:dyDescent="0.25">
      <c r="A37" s="4">
        <v>31</v>
      </c>
      <c r="F37" s="4"/>
      <c r="G37" s="4"/>
    </row>
    <row r="38" spans="1:7" hidden="1" x14ac:dyDescent="0.25">
      <c r="A38" s="4">
        <v>32</v>
      </c>
      <c r="F38" s="4"/>
      <c r="G38" s="4"/>
    </row>
    <row r="39" spans="1:7" hidden="1" x14ac:dyDescent="0.25">
      <c r="A39" s="4">
        <v>33</v>
      </c>
      <c r="F39" s="4"/>
      <c r="G39" s="4"/>
    </row>
    <row r="40" spans="1:7" hidden="1" x14ac:dyDescent="0.25">
      <c r="A40" s="4">
        <v>34</v>
      </c>
      <c r="F40" s="4"/>
      <c r="G40" s="4"/>
    </row>
    <row r="41" spans="1:7" hidden="1" x14ac:dyDescent="0.25">
      <c r="A41" s="4">
        <v>35</v>
      </c>
      <c r="F41" s="4"/>
      <c r="G41" s="4"/>
    </row>
    <row r="42" spans="1:7" hidden="1" x14ac:dyDescent="0.25">
      <c r="A42" s="4"/>
      <c r="F42" s="4"/>
      <c r="G42" s="4"/>
    </row>
    <row r="43" spans="1:7" hidden="1" x14ac:dyDescent="0.25">
      <c r="A43" s="4"/>
      <c r="F43" s="4"/>
      <c r="G43" s="4"/>
    </row>
    <row r="44" spans="1:7" s="29" customFormat="1" ht="12.75" x14ac:dyDescent="0.2">
      <c r="A44" s="28">
        <v>27</v>
      </c>
      <c r="B44" s="21"/>
      <c r="C44" s="21" t="s">
        <v>51</v>
      </c>
      <c r="D44" s="21" t="s">
        <v>52</v>
      </c>
      <c r="E44" s="28"/>
      <c r="F44" s="28">
        <v>150</v>
      </c>
      <c r="G44" s="28"/>
    </row>
    <row r="45" spans="1:7" s="29" customFormat="1" ht="12.75" x14ac:dyDescent="0.2">
      <c r="A45" s="28">
        <v>27</v>
      </c>
      <c r="B45" s="21"/>
      <c r="C45" s="21" t="s">
        <v>51</v>
      </c>
      <c r="D45" s="21" t="s">
        <v>53</v>
      </c>
      <c r="E45" s="28"/>
      <c r="F45" s="28">
        <v>165</v>
      </c>
      <c r="G45" s="28"/>
    </row>
    <row r="46" spans="1:7" s="29" customFormat="1" ht="12.75" x14ac:dyDescent="0.2">
      <c r="A46" s="28">
        <v>27</v>
      </c>
      <c r="B46" s="21"/>
      <c r="C46" s="21" t="s">
        <v>51</v>
      </c>
      <c r="D46" s="21" t="s">
        <v>54</v>
      </c>
      <c r="E46" s="28"/>
      <c r="F46" s="28">
        <v>80</v>
      </c>
      <c r="G46" s="28"/>
    </row>
    <row r="47" spans="1:7" s="29" customFormat="1" ht="12.75" x14ac:dyDescent="0.2">
      <c r="A47" s="28">
        <v>27</v>
      </c>
      <c r="B47" s="21"/>
      <c r="C47" s="21" t="s">
        <v>55</v>
      </c>
      <c r="D47" s="21" t="s">
        <v>221</v>
      </c>
      <c r="E47" s="28"/>
      <c r="F47" s="28"/>
      <c r="G47" s="28"/>
    </row>
    <row r="48" spans="1:7" s="29" customFormat="1" ht="12.75" x14ac:dyDescent="0.2">
      <c r="A48" s="28">
        <v>27</v>
      </c>
      <c r="B48" s="21"/>
      <c r="C48" s="21" t="s">
        <v>55</v>
      </c>
      <c r="D48" s="21" t="s">
        <v>314</v>
      </c>
      <c r="E48" s="28"/>
      <c r="F48" s="28"/>
      <c r="G48" s="28">
        <v>180</v>
      </c>
    </row>
    <row r="49" spans="1:7" s="29" customFormat="1" ht="12.75" x14ac:dyDescent="0.2">
      <c r="A49" s="28">
        <v>27</v>
      </c>
      <c r="B49" s="21"/>
      <c r="C49" s="21" t="s">
        <v>55</v>
      </c>
      <c r="D49" s="21" t="s">
        <v>56</v>
      </c>
      <c r="E49" s="28"/>
      <c r="F49" s="28"/>
      <c r="G49" s="28"/>
    </row>
    <row r="50" spans="1:7" s="29" customFormat="1" ht="12.75" x14ac:dyDescent="0.2">
      <c r="A50" s="28">
        <v>27</v>
      </c>
      <c r="B50" s="21"/>
      <c r="C50" s="21" t="s">
        <v>57</v>
      </c>
      <c r="D50" s="21" t="s">
        <v>58</v>
      </c>
      <c r="E50" s="28"/>
      <c r="F50" s="28"/>
      <c r="G50" s="28">
        <v>165</v>
      </c>
    </row>
    <row r="51" spans="1:7" s="29" customFormat="1" ht="12.75" x14ac:dyDescent="0.2">
      <c r="A51" s="28">
        <v>27</v>
      </c>
      <c r="B51" s="21"/>
      <c r="C51" s="21" t="s">
        <v>59</v>
      </c>
      <c r="D51" s="21" t="s">
        <v>60</v>
      </c>
      <c r="E51" s="28"/>
      <c r="F51" s="28"/>
      <c r="G51" s="28">
        <v>170</v>
      </c>
    </row>
    <row r="52" spans="1:7" s="29" customFormat="1" ht="12.75" x14ac:dyDescent="0.2">
      <c r="A52" s="28">
        <v>27</v>
      </c>
      <c r="B52" s="21"/>
      <c r="C52" s="21" t="s">
        <v>59</v>
      </c>
      <c r="D52" s="21" t="s">
        <v>61</v>
      </c>
      <c r="E52" s="28"/>
      <c r="F52" s="28"/>
      <c r="G52" s="28"/>
    </row>
    <row r="53" spans="1:7" s="29" customFormat="1" ht="12.75" x14ac:dyDescent="0.2">
      <c r="A53" s="28">
        <v>27</v>
      </c>
      <c r="B53" s="21"/>
      <c r="C53" s="21" t="s">
        <v>59</v>
      </c>
      <c r="D53" s="21" t="s">
        <v>394</v>
      </c>
      <c r="E53" s="28"/>
      <c r="F53" s="28"/>
      <c r="G53" s="28">
        <v>140</v>
      </c>
    </row>
    <row r="54" spans="1:7" s="29" customFormat="1" ht="12.75" x14ac:dyDescent="0.2">
      <c r="A54" s="28">
        <v>27</v>
      </c>
      <c r="B54" s="21"/>
      <c r="C54" s="21" t="s">
        <v>62</v>
      </c>
      <c r="D54" s="21" t="s">
        <v>63</v>
      </c>
      <c r="E54" s="28">
        <v>13</v>
      </c>
      <c r="F54" s="28"/>
      <c r="G54" s="28">
        <v>185</v>
      </c>
    </row>
    <row r="55" spans="1:7" s="29" customFormat="1" ht="12.75" x14ac:dyDescent="0.2">
      <c r="A55" s="28">
        <v>27</v>
      </c>
      <c r="B55" s="21"/>
      <c r="C55" s="21" t="s">
        <v>62</v>
      </c>
      <c r="D55" s="21" t="s">
        <v>64</v>
      </c>
      <c r="E55" s="28"/>
      <c r="F55" s="28"/>
      <c r="G55" s="28"/>
    </row>
    <row r="56" spans="1:7" s="29" customFormat="1" ht="12.75" x14ac:dyDescent="0.2">
      <c r="A56" s="28">
        <v>27</v>
      </c>
      <c r="B56" s="21"/>
      <c r="C56" s="21" t="s">
        <v>62</v>
      </c>
      <c r="D56" s="21" t="s">
        <v>65</v>
      </c>
      <c r="E56" s="28"/>
      <c r="F56" s="28"/>
      <c r="G56" s="28"/>
    </row>
    <row r="57" spans="1:7" s="29" customFormat="1" ht="12.75" x14ac:dyDescent="0.2">
      <c r="A57" s="28">
        <v>27</v>
      </c>
      <c r="B57" s="21"/>
      <c r="C57" s="21" t="s">
        <v>66</v>
      </c>
      <c r="D57" s="21" t="s">
        <v>68</v>
      </c>
      <c r="E57" s="28"/>
      <c r="F57" s="28"/>
      <c r="G57" s="28"/>
    </row>
    <row r="58" spans="1:7" s="29" customFormat="1" ht="12.75" x14ac:dyDescent="0.2">
      <c r="A58" s="28">
        <v>27</v>
      </c>
      <c r="B58" s="21"/>
      <c r="C58" s="21" t="s">
        <v>66</v>
      </c>
      <c r="D58" s="21" t="s">
        <v>67</v>
      </c>
      <c r="E58" s="28"/>
      <c r="F58" s="28"/>
      <c r="G58" s="28"/>
    </row>
    <row r="59" spans="1:7" s="29" customFormat="1" ht="12.75" x14ac:dyDescent="0.2">
      <c r="A59" s="28">
        <v>27</v>
      </c>
      <c r="B59" s="21"/>
      <c r="C59" s="21" t="s">
        <v>238</v>
      </c>
      <c r="D59" s="21" t="s">
        <v>234</v>
      </c>
      <c r="E59" s="28"/>
      <c r="F59" s="28"/>
      <c r="G59" s="28"/>
    </row>
    <row r="60" spans="1:7" s="29" customFormat="1" ht="12.75" x14ac:dyDescent="0.2">
      <c r="A60" s="28">
        <v>27</v>
      </c>
      <c r="B60" s="21"/>
      <c r="C60" s="21" t="s">
        <v>238</v>
      </c>
      <c r="D60" s="21" t="s">
        <v>235</v>
      </c>
      <c r="E60" s="28"/>
      <c r="F60" s="28">
        <v>40</v>
      </c>
      <c r="G60" s="28">
        <v>40</v>
      </c>
    </row>
    <row r="61" spans="1:7" s="29" customFormat="1" ht="12.75" x14ac:dyDescent="0.2">
      <c r="A61" s="28">
        <v>27</v>
      </c>
      <c r="B61" s="21"/>
      <c r="C61" s="21" t="s">
        <v>238</v>
      </c>
      <c r="D61" s="21" t="s">
        <v>236</v>
      </c>
      <c r="E61" s="28"/>
      <c r="F61" s="28">
        <v>60</v>
      </c>
      <c r="G61" s="28"/>
    </row>
    <row r="62" spans="1:7" s="29" customFormat="1" ht="12.75" x14ac:dyDescent="0.2">
      <c r="A62" s="28">
        <v>27</v>
      </c>
      <c r="B62" s="21"/>
      <c r="C62" s="21" t="s">
        <v>238</v>
      </c>
      <c r="D62" s="21" t="s">
        <v>237</v>
      </c>
      <c r="E62" s="28"/>
      <c r="F62" s="28"/>
      <c r="G62" s="28"/>
    </row>
    <row r="63" spans="1:7" s="29" customFormat="1" ht="12.75" x14ac:dyDescent="0.2">
      <c r="A63" s="28">
        <v>27</v>
      </c>
      <c r="B63" s="21"/>
      <c r="C63" s="21" t="s">
        <v>238</v>
      </c>
      <c r="D63" s="21" t="s">
        <v>239</v>
      </c>
      <c r="E63" s="28"/>
      <c r="F63" s="28">
        <v>25</v>
      </c>
      <c r="G63" s="28">
        <v>190</v>
      </c>
    </row>
    <row r="64" spans="1:7" s="29" customFormat="1" ht="12.75" x14ac:dyDescent="0.2">
      <c r="A64" s="28">
        <v>27</v>
      </c>
      <c r="B64" s="21"/>
      <c r="C64" s="21" t="s">
        <v>238</v>
      </c>
      <c r="D64" s="21" t="s">
        <v>240</v>
      </c>
      <c r="E64" s="28"/>
      <c r="F64" s="28">
        <v>20</v>
      </c>
      <c r="G64" s="28">
        <v>230</v>
      </c>
    </row>
    <row r="65" spans="1:7" s="29" customFormat="1" ht="12.75" x14ac:dyDescent="0.2">
      <c r="A65" s="28">
        <v>27</v>
      </c>
      <c r="B65" s="21"/>
      <c r="C65" s="21" t="s">
        <v>238</v>
      </c>
      <c r="D65" s="21" t="s">
        <v>241</v>
      </c>
      <c r="E65" s="28"/>
      <c r="F65" s="28">
        <v>35</v>
      </c>
      <c r="G65" s="28">
        <v>360</v>
      </c>
    </row>
    <row r="66" spans="1:7" s="29" customFormat="1" ht="12.75" x14ac:dyDescent="0.2">
      <c r="A66" s="28">
        <v>27</v>
      </c>
      <c r="B66" s="21"/>
      <c r="C66" s="21" t="s">
        <v>243</v>
      </c>
      <c r="D66" s="21" t="s">
        <v>242</v>
      </c>
      <c r="E66" s="28"/>
      <c r="F66" s="28">
        <v>25</v>
      </c>
      <c r="G66" s="28">
        <v>260</v>
      </c>
    </row>
    <row r="67" spans="1:7" s="29" customFormat="1" ht="12.75" x14ac:dyDescent="0.2">
      <c r="A67" s="28">
        <v>27</v>
      </c>
      <c r="B67" s="21"/>
      <c r="C67" s="21"/>
      <c r="D67" s="21" t="s">
        <v>254</v>
      </c>
      <c r="E67" s="28"/>
      <c r="F67" s="28">
        <v>10</v>
      </c>
      <c r="G67" s="28">
        <v>100</v>
      </c>
    </row>
    <row r="68" spans="1:7" s="29" customFormat="1" ht="12.75" x14ac:dyDescent="0.2">
      <c r="A68" s="28">
        <v>27</v>
      </c>
      <c r="B68" s="21"/>
      <c r="C68" s="21"/>
      <c r="D68" s="21" t="s">
        <v>267</v>
      </c>
      <c r="E68" s="28"/>
      <c r="F68" s="28">
        <v>3</v>
      </c>
      <c r="G68" s="28">
        <v>90</v>
      </c>
    </row>
    <row r="69" spans="1:7" s="29" customFormat="1" ht="12.75" x14ac:dyDescent="0.2">
      <c r="A69" s="28">
        <v>27</v>
      </c>
      <c r="B69" s="21"/>
      <c r="C69" s="21" t="s">
        <v>294</v>
      </c>
      <c r="D69" s="21" t="s">
        <v>293</v>
      </c>
      <c r="E69" s="28"/>
      <c r="F69" s="28">
        <v>25</v>
      </c>
      <c r="G69" s="28">
        <f>23*12</f>
        <v>276</v>
      </c>
    </row>
    <row r="70" spans="1:7" s="29" customFormat="1" ht="12.75" x14ac:dyDescent="0.2">
      <c r="A70" s="28">
        <v>27</v>
      </c>
      <c r="B70" s="21"/>
      <c r="C70" s="21" t="s">
        <v>324</v>
      </c>
      <c r="D70" s="21" t="s">
        <v>323</v>
      </c>
      <c r="E70" s="28"/>
      <c r="F70" s="28"/>
      <c r="G70" s="28">
        <v>70</v>
      </c>
    </row>
    <row r="71" spans="1:7" s="29" customFormat="1" ht="12.75" x14ac:dyDescent="0.2">
      <c r="A71" s="28">
        <v>27</v>
      </c>
      <c r="B71" s="21"/>
      <c r="C71" s="21" t="s">
        <v>238</v>
      </c>
      <c r="D71" s="21" t="s">
        <v>395</v>
      </c>
      <c r="E71" s="28"/>
      <c r="F71" s="28">
        <v>25</v>
      </c>
      <c r="G71" s="28">
        <v>260</v>
      </c>
    </row>
    <row r="72" spans="1:7" s="29" customFormat="1" ht="12.75" x14ac:dyDescent="0.2">
      <c r="A72" s="28">
        <v>27</v>
      </c>
      <c r="B72" s="21"/>
      <c r="C72" s="21" t="s">
        <v>238</v>
      </c>
      <c r="D72" s="21" t="s">
        <v>396</v>
      </c>
      <c r="E72" s="28"/>
      <c r="F72" s="28">
        <v>20</v>
      </c>
      <c r="G72" s="28">
        <v>235</v>
      </c>
    </row>
    <row r="73" spans="1:7" s="29" customFormat="1" ht="12.75" x14ac:dyDescent="0.2">
      <c r="A73" s="28">
        <v>27</v>
      </c>
      <c r="B73" s="21"/>
      <c r="C73" s="21" t="s">
        <v>238</v>
      </c>
      <c r="D73" s="21" t="s">
        <v>397</v>
      </c>
      <c r="E73" s="28"/>
      <c r="F73" s="28">
        <v>35</v>
      </c>
      <c r="G73" s="28"/>
    </row>
    <row r="74" spans="1:7" s="29" customFormat="1" ht="12.75" x14ac:dyDescent="0.2">
      <c r="A74" s="28">
        <v>27</v>
      </c>
      <c r="B74" s="21"/>
      <c r="C74" s="21" t="s">
        <v>238</v>
      </c>
      <c r="D74" s="21" t="s">
        <v>398</v>
      </c>
      <c r="E74" s="28"/>
      <c r="F74" s="28">
        <v>45</v>
      </c>
      <c r="G74" s="28"/>
    </row>
    <row r="75" spans="1:7" s="29" customFormat="1" ht="12.75" x14ac:dyDescent="0.2">
      <c r="A75" s="28">
        <v>27</v>
      </c>
      <c r="B75" s="21"/>
      <c r="C75" s="21" t="s">
        <v>238</v>
      </c>
      <c r="D75" s="21" t="s">
        <v>399</v>
      </c>
      <c r="E75" s="28"/>
      <c r="F75" s="28">
        <v>20</v>
      </c>
      <c r="G75" s="28"/>
    </row>
    <row r="76" spans="1:7" s="29" customFormat="1" ht="12.75" x14ac:dyDescent="0.2">
      <c r="A76" s="28">
        <v>27</v>
      </c>
      <c r="B76" s="21"/>
      <c r="C76" s="21" t="s">
        <v>403</v>
      </c>
      <c r="D76" s="21" t="s">
        <v>400</v>
      </c>
      <c r="E76" s="28"/>
      <c r="F76" s="28">
        <v>25</v>
      </c>
      <c r="G76" s="28"/>
    </row>
    <row r="77" spans="1:7" s="29" customFormat="1" ht="12.75" x14ac:dyDescent="0.2">
      <c r="A77" s="28">
        <v>27</v>
      </c>
      <c r="B77" s="21"/>
      <c r="C77" s="21" t="s">
        <v>403</v>
      </c>
      <c r="D77" s="21" t="s">
        <v>402</v>
      </c>
      <c r="E77" s="28"/>
      <c r="F77" s="28">
        <v>12</v>
      </c>
      <c r="G77" s="28">
        <v>130</v>
      </c>
    </row>
    <row r="78" spans="1:7" s="29" customFormat="1" ht="12.75" x14ac:dyDescent="0.2">
      <c r="A78" s="28">
        <v>27</v>
      </c>
      <c r="B78" s="21"/>
      <c r="C78" s="21" t="s">
        <v>403</v>
      </c>
      <c r="D78" s="21" t="s">
        <v>401</v>
      </c>
      <c r="E78" s="28"/>
      <c r="F78" s="28">
        <v>6</v>
      </c>
      <c r="G78" s="28">
        <v>50</v>
      </c>
    </row>
    <row r="79" spans="1:7" s="29" customFormat="1" ht="12.75" x14ac:dyDescent="0.2">
      <c r="A79" s="28">
        <v>27</v>
      </c>
      <c r="B79" s="21"/>
      <c r="C79" s="21"/>
      <c r="D79" s="21" t="s">
        <v>404</v>
      </c>
      <c r="E79" s="28"/>
      <c r="F79" s="28">
        <v>10</v>
      </c>
      <c r="G79" s="28">
        <v>210</v>
      </c>
    </row>
    <row r="80" spans="1:7" s="29" customFormat="1" ht="12.75" x14ac:dyDescent="0.2">
      <c r="A80" s="28">
        <v>27</v>
      </c>
      <c r="B80" s="21"/>
      <c r="C80" s="21"/>
      <c r="D80" s="21" t="s">
        <v>405</v>
      </c>
      <c r="E80" s="28"/>
      <c r="F80" s="28">
        <v>10</v>
      </c>
      <c r="G80" s="28">
        <v>220</v>
      </c>
    </row>
    <row r="81" spans="1:7" s="29" customFormat="1" ht="12.75" x14ac:dyDescent="0.2">
      <c r="A81" s="28">
        <v>27</v>
      </c>
      <c r="B81" s="21"/>
      <c r="C81" s="21"/>
      <c r="D81" s="21" t="s">
        <v>406</v>
      </c>
      <c r="E81" s="28">
        <v>18</v>
      </c>
      <c r="F81" s="28">
        <v>15</v>
      </c>
      <c r="G81" s="28">
        <v>250</v>
      </c>
    </row>
    <row r="82" spans="1:7" s="29" customFormat="1" ht="12.75" x14ac:dyDescent="0.2">
      <c r="A82" s="28">
        <v>27</v>
      </c>
      <c r="B82" s="21"/>
      <c r="C82" s="21"/>
      <c r="D82" s="21" t="s">
        <v>407</v>
      </c>
      <c r="E82" s="28"/>
      <c r="F82" s="28">
        <v>45</v>
      </c>
      <c r="G82" s="28"/>
    </row>
    <row r="83" spans="1:7" s="29" customFormat="1" ht="12.75" x14ac:dyDescent="0.2">
      <c r="A83" s="28">
        <v>27</v>
      </c>
      <c r="B83" s="21"/>
      <c r="C83" s="21"/>
      <c r="D83" s="21" t="s">
        <v>408</v>
      </c>
      <c r="E83" s="28"/>
      <c r="F83" s="28">
        <v>25</v>
      </c>
      <c r="G83" s="28"/>
    </row>
    <row r="84" spans="1:7" s="29" customFormat="1" ht="12.75" x14ac:dyDescent="0.2">
      <c r="A84" s="28">
        <v>27</v>
      </c>
      <c r="B84" s="21"/>
      <c r="C84" s="21"/>
      <c r="D84" s="21" t="s">
        <v>409</v>
      </c>
      <c r="E84" s="28"/>
      <c r="F84" s="28">
        <v>6</v>
      </c>
      <c r="G84" s="28">
        <v>180</v>
      </c>
    </row>
    <row r="85" spans="1:7" s="29" customFormat="1" ht="12.75" x14ac:dyDescent="0.2">
      <c r="A85" s="28">
        <v>27</v>
      </c>
      <c r="B85" s="21"/>
      <c r="C85" s="21"/>
      <c r="D85" s="21" t="s">
        <v>410</v>
      </c>
      <c r="E85" s="28"/>
      <c r="F85" s="28">
        <v>98</v>
      </c>
      <c r="G85" s="28">
        <v>385</v>
      </c>
    </row>
    <row r="86" spans="1:7" s="29" customFormat="1" ht="12.75" x14ac:dyDescent="0.2">
      <c r="A86" s="28">
        <v>27</v>
      </c>
      <c r="B86" s="21"/>
      <c r="C86" s="21"/>
      <c r="D86" s="21" t="s">
        <v>411</v>
      </c>
      <c r="E86" s="28"/>
      <c r="F86" s="28">
        <v>13</v>
      </c>
      <c r="G86" s="28"/>
    </row>
    <row r="87" spans="1:7" s="29" customFormat="1" ht="12.75" x14ac:dyDescent="0.2">
      <c r="A87" s="28">
        <v>27</v>
      </c>
      <c r="B87" s="21"/>
      <c r="C87" s="21"/>
      <c r="D87" s="21" t="s">
        <v>412</v>
      </c>
      <c r="E87" s="28"/>
      <c r="F87" s="28">
        <v>15</v>
      </c>
      <c r="G87" s="28">
        <v>170</v>
      </c>
    </row>
    <row r="88" spans="1:7" s="29" customFormat="1" ht="12.75" x14ac:dyDescent="0.2">
      <c r="A88" s="28">
        <v>27</v>
      </c>
      <c r="B88" s="21"/>
      <c r="C88" s="21"/>
      <c r="D88" s="21" t="s">
        <v>413</v>
      </c>
      <c r="E88" s="28"/>
      <c r="F88" s="28">
        <v>67</v>
      </c>
      <c r="G88" s="28"/>
    </row>
    <row r="89" spans="1:7" s="29" customFormat="1" ht="12.75" x14ac:dyDescent="0.2">
      <c r="A89" s="28">
        <v>27</v>
      </c>
      <c r="B89" s="21"/>
      <c r="C89" s="21"/>
      <c r="D89" s="21" t="s">
        <v>414</v>
      </c>
      <c r="E89" s="28"/>
      <c r="F89" s="28">
        <v>7</v>
      </c>
      <c r="G89" s="28">
        <v>68</v>
      </c>
    </row>
    <row r="90" spans="1:7" s="29" customFormat="1" ht="12.75" x14ac:dyDescent="0.2">
      <c r="A90" s="28">
        <v>27</v>
      </c>
      <c r="B90" s="21"/>
      <c r="C90" s="21"/>
      <c r="D90" s="21" t="s">
        <v>415</v>
      </c>
      <c r="E90" s="28"/>
      <c r="F90" s="28">
        <v>10</v>
      </c>
      <c r="G90" s="28">
        <v>95</v>
      </c>
    </row>
    <row r="91" spans="1:7" s="29" customFormat="1" ht="12.75" x14ac:dyDescent="0.2">
      <c r="A91" s="28">
        <v>27</v>
      </c>
      <c r="B91" s="21"/>
      <c r="C91" s="21"/>
      <c r="D91" s="21" t="s">
        <v>416</v>
      </c>
      <c r="E91" s="28"/>
      <c r="F91" s="28"/>
      <c r="G91" s="28">
        <v>80</v>
      </c>
    </row>
    <row r="92" spans="1:7" s="29" customFormat="1" ht="12.75" x14ac:dyDescent="0.2">
      <c r="A92" s="28">
        <v>27</v>
      </c>
      <c r="B92" s="21"/>
      <c r="C92" s="21"/>
      <c r="D92" s="21" t="s">
        <v>418</v>
      </c>
      <c r="E92" s="28"/>
      <c r="F92" s="28">
        <v>50</v>
      </c>
      <c r="G92" s="28">
        <v>290</v>
      </c>
    </row>
    <row r="93" spans="1:7" s="29" customFormat="1" ht="12.75" x14ac:dyDescent="0.2">
      <c r="A93" s="28"/>
      <c r="B93" s="21"/>
      <c r="C93" s="21"/>
      <c r="D93" s="21" t="s">
        <v>434</v>
      </c>
      <c r="E93" s="28"/>
      <c r="F93" s="28" t="s">
        <v>453</v>
      </c>
      <c r="G93" s="28"/>
    </row>
    <row r="94" spans="1:7" s="29" customFormat="1" ht="12.75" x14ac:dyDescent="0.2">
      <c r="A94" s="28">
        <v>27</v>
      </c>
      <c r="B94" s="21"/>
      <c r="C94" s="21"/>
      <c r="D94" s="21" t="s">
        <v>419</v>
      </c>
      <c r="E94" s="28"/>
      <c r="F94" s="28">
        <v>60</v>
      </c>
      <c r="G94" s="28">
        <v>340</v>
      </c>
    </row>
    <row r="95" spans="1:7" s="29" customFormat="1" ht="12.75" x14ac:dyDescent="0.2">
      <c r="A95" s="28">
        <v>27</v>
      </c>
      <c r="B95" s="21"/>
      <c r="C95" s="21"/>
      <c r="D95" s="21" t="s">
        <v>420</v>
      </c>
      <c r="E95" s="28"/>
      <c r="F95" s="28"/>
      <c r="G95" s="28">
        <v>40</v>
      </c>
    </row>
    <row r="96" spans="1:7" s="29" customFormat="1" ht="12.75" x14ac:dyDescent="0.2">
      <c r="A96" s="28">
        <v>27</v>
      </c>
      <c r="B96" s="21"/>
      <c r="C96" s="21"/>
      <c r="D96" s="21" t="s">
        <v>463</v>
      </c>
      <c r="E96" s="28"/>
      <c r="F96" s="28"/>
      <c r="G96" s="28">
        <v>290</v>
      </c>
    </row>
    <row r="97" spans="1:8" s="29" customFormat="1" ht="12.75" x14ac:dyDescent="0.2">
      <c r="A97" s="28">
        <v>27</v>
      </c>
      <c r="B97" s="21"/>
      <c r="C97" s="21"/>
      <c r="D97" s="21" t="s">
        <v>432</v>
      </c>
      <c r="E97" s="28"/>
      <c r="F97" s="28"/>
      <c r="G97" s="28">
        <v>210</v>
      </c>
    </row>
    <row r="98" spans="1:8" s="29" customFormat="1" ht="12.75" x14ac:dyDescent="0.2">
      <c r="A98" s="28"/>
      <c r="B98" s="21"/>
      <c r="C98" s="21"/>
      <c r="D98" s="21" t="s">
        <v>595</v>
      </c>
      <c r="E98" s="28"/>
      <c r="F98" s="28"/>
      <c r="G98" s="28">
        <v>180</v>
      </c>
    </row>
    <row r="99" spans="1:8" s="29" customFormat="1" ht="12.75" x14ac:dyDescent="0.2">
      <c r="A99" s="28"/>
      <c r="B99" s="21"/>
      <c r="C99" s="21"/>
      <c r="D99" s="21" t="s">
        <v>596</v>
      </c>
      <c r="E99" s="28"/>
      <c r="F99" s="28"/>
      <c r="G99" s="28">
        <v>220</v>
      </c>
    </row>
    <row r="100" spans="1:8" s="29" customFormat="1" ht="12.75" x14ac:dyDescent="0.2">
      <c r="A100" s="28">
        <v>27</v>
      </c>
      <c r="B100" s="21"/>
      <c r="C100" s="21"/>
      <c r="D100" s="21" t="s">
        <v>435</v>
      </c>
      <c r="E100" s="28"/>
      <c r="F100" s="28">
        <v>28</v>
      </c>
      <c r="G100" s="28"/>
    </row>
    <row r="101" spans="1:8" s="29" customFormat="1" ht="12.75" x14ac:dyDescent="0.2">
      <c r="A101" s="28">
        <v>27</v>
      </c>
      <c r="B101" s="21"/>
      <c r="C101" s="21"/>
      <c r="D101" s="21" t="s">
        <v>439</v>
      </c>
      <c r="E101" s="28"/>
      <c r="F101" s="28">
        <v>130</v>
      </c>
      <c r="G101" s="28"/>
    </row>
    <row r="102" spans="1:8" s="29" customFormat="1" ht="12.75" x14ac:dyDescent="0.2">
      <c r="A102" s="28">
        <v>27</v>
      </c>
      <c r="B102" s="21"/>
      <c r="C102" s="21"/>
      <c r="D102" s="21" t="s">
        <v>460</v>
      </c>
      <c r="E102" s="28"/>
      <c r="F102" s="28">
        <v>20</v>
      </c>
      <c r="G102" s="28">
        <v>200</v>
      </c>
    </row>
    <row r="103" spans="1:8" s="29" customFormat="1" ht="12.75" x14ac:dyDescent="0.2">
      <c r="A103" s="28">
        <v>27</v>
      </c>
      <c r="B103" s="21"/>
      <c r="C103" s="21"/>
      <c r="D103" s="21" t="s">
        <v>461</v>
      </c>
      <c r="E103" s="28"/>
      <c r="F103" s="28"/>
      <c r="G103" s="28"/>
    </row>
    <row r="104" spans="1:8" s="29" customFormat="1" ht="12.75" x14ac:dyDescent="0.2">
      <c r="A104" s="28">
        <v>27</v>
      </c>
      <c r="B104" s="21"/>
      <c r="C104" s="21"/>
      <c r="D104" s="21" t="s">
        <v>462</v>
      </c>
      <c r="E104" s="28"/>
      <c r="F104" s="28"/>
      <c r="G104" s="28">
        <v>135</v>
      </c>
    </row>
    <row r="105" spans="1:8" s="29" customFormat="1" ht="12.75" x14ac:dyDescent="0.2">
      <c r="A105" s="28">
        <v>27</v>
      </c>
      <c r="B105" s="21"/>
      <c r="C105" s="21"/>
      <c r="D105" s="21" t="s">
        <v>478</v>
      </c>
      <c r="E105" s="28"/>
      <c r="F105" s="28"/>
      <c r="G105" s="28"/>
    </row>
    <row r="106" spans="1:8" s="29" customFormat="1" ht="12.75" x14ac:dyDescent="0.2">
      <c r="A106" s="28">
        <v>27</v>
      </c>
      <c r="B106" s="21"/>
      <c r="C106" s="21"/>
      <c r="D106" s="21" t="s">
        <v>479</v>
      </c>
      <c r="E106" s="28"/>
      <c r="F106" s="28"/>
      <c r="G106" s="28"/>
    </row>
    <row r="107" spans="1:8" s="29" customFormat="1" ht="12.75" x14ac:dyDescent="0.2">
      <c r="A107" s="28">
        <v>27</v>
      </c>
      <c r="B107" s="21"/>
      <c r="C107" s="21"/>
      <c r="D107" s="21" t="s">
        <v>488</v>
      </c>
      <c r="E107" s="28"/>
      <c r="F107" s="28"/>
      <c r="G107" s="28"/>
    </row>
    <row r="108" spans="1:8" s="29" customFormat="1" ht="12.75" x14ac:dyDescent="0.2">
      <c r="A108" s="28">
        <v>27</v>
      </c>
      <c r="B108" s="21"/>
      <c r="C108" s="21"/>
      <c r="D108" s="21" t="s">
        <v>497</v>
      </c>
      <c r="E108" s="28"/>
      <c r="F108" s="28"/>
      <c r="G108" s="28">
        <v>45</v>
      </c>
    </row>
    <row r="109" spans="1:8" s="29" customFormat="1" ht="12.75" x14ac:dyDescent="0.2">
      <c r="A109" s="28">
        <v>27</v>
      </c>
      <c r="B109" s="21"/>
      <c r="C109" s="21"/>
      <c r="D109" s="21" t="s">
        <v>528</v>
      </c>
      <c r="E109" s="28"/>
      <c r="F109" s="28"/>
      <c r="G109" s="28"/>
    </row>
    <row r="110" spans="1:8" s="29" customFormat="1" ht="12.75" x14ac:dyDescent="0.2">
      <c r="A110" s="28"/>
      <c r="B110" s="21"/>
      <c r="C110" s="21"/>
      <c r="D110" s="21" t="s">
        <v>529</v>
      </c>
      <c r="E110" s="28"/>
      <c r="F110" s="28"/>
      <c r="G110" s="28">
        <v>120</v>
      </c>
      <c r="H110" s="29" t="s">
        <v>498</v>
      </c>
    </row>
    <row r="111" spans="1:8" s="29" customFormat="1" ht="12.75" x14ac:dyDescent="0.2">
      <c r="A111" s="28"/>
      <c r="B111" s="21"/>
      <c r="C111" s="21"/>
      <c r="D111" s="21" t="s">
        <v>543</v>
      </c>
      <c r="E111" s="28"/>
      <c r="F111" s="28"/>
      <c r="G111" s="28">
        <v>160</v>
      </c>
    </row>
    <row r="112" spans="1:8" s="29" customFormat="1" ht="12.75" x14ac:dyDescent="0.2">
      <c r="A112" s="28"/>
      <c r="B112" s="21"/>
      <c r="C112" s="21"/>
      <c r="D112" s="21" t="s">
        <v>545</v>
      </c>
      <c r="E112" s="28" t="s">
        <v>546</v>
      </c>
      <c r="F112" s="28"/>
      <c r="G112" s="28">
        <v>70</v>
      </c>
    </row>
    <row r="113" spans="1:7" s="29" customFormat="1" ht="12.75" x14ac:dyDescent="0.2">
      <c r="A113" s="28"/>
      <c r="B113" s="21"/>
      <c r="C113" s="21"/>
      <c r="D113" s="21" t="s">
        <v>550</v>
      </c>
      <c r="E113" s="28"/>
      <c r="F113" s="28"/>
      <c r="G113" s="28">
        <v>115</v>
      </c>
    </row>
    <row r="114" spans="1:7" s="29" customFormat="1" ht="12.75" x14ac:dyDescent="0.2">
      <c r="A114" s="28"/>
      <c r="B114" s="21"/>
      <c r="C114" s="21"/>
      <c r="D114" s="21" t="s">
        <v>551</v>
      </c>
      <c r="E114" s="28"/>
      <c r="F114" s="28"/>
      <c r="G114" s="28">
        <v>115</v>
      </c>
    </row>
    <row r="115" spans="1:7" s="29" customFormat="1" ht="12.75" x14ac:dyDescent="0.2">
      <c r="A115" s="28"/>
      <c r="B115" s="21"/>
      <c r="C115" s="21"/>
      <c r="D115" s="21" t="s">
        <v>553</v>
      </c>
      <c r="E115" s="28"/>
      <c r="F115" s="28"/>
      <c r="G115" s="28">
        <v>27</v>
      </c>
    </row>
    <row r="116" spans="1:7" s="29" customFormat="1" ht="12.75" x14ac:dyDescent="0.2">
      <c r="A116" s="28"/>
      <c r="B116" s="21"/>
      <c r="C116" s="21"/>
      <c r="D116" s="21" t="s">
        <v>559</v>
      </c>
      <c r="E116" s="28"/>
      <c r="F116" s="28"/>
      <c r="G116" s="28"/>
    </row>
    <row r="117" spans="1:7" s="29" customFormat="1" ht="12.75" x14ac:dyDescent="0.2">
      <c r="A117" s="28"/>
      <c r="B117" s="21"/>
      <c r="C117" s="21"/>
      <c r="D117" s="21" t="s">
        <v>562</v>
      </c>
      <c r="E117" s="28"/>
      <c r="F117" s="28"/>
      <c r="G117" s="28">
        <v>18</v>
      </c>
    </row>
    <row r="118" spans="1:7" s="29" customFormat="1" ht="12.75" x14ac:dyDescent="0.2">
      <c r="A118" s="28"/>
      <c r="B118" s="21"/>
      <c r="C118" s="21"/>
      <c r="D118" s="21" t="s">
        <v>563</v>
      </c>
      <c r="E118" s="28"/>
      <c r="F118" s="28">
        <v>12</v>
      </c>
      <c r="G118" s="28"/>
    </row>
    <row r="119" spans="1:7" s="29" customFormat="1" ht="12.75" x14ac:dyDescent="0.2">
      <c r="A119" s="28"/>
      <c r="B119" s="21"/>
      <c r="C119" s="21"/>
      <c r="D119" s="21" t="s">
        <v>564</v>
      </c>
      <c r="E119" s="28"/>
      <c r="F119" s="28"/>
      <c r="G119" s="28">
        <v>125</v>
      </c>
    </row>
    <row r="120" spans="1:7" s="29" customFormat="1" ht="12.75" x14ac:dyDescent="0.2">
      <c r="A120" s="28"/>
      <c r="B120" s="21"/>
      <c r="C120" s="21"/>
      <c r="D120" s="21" t="s">
        <v>612</v>
      </c>
      <c r="E120" s="28"/>
      <c r="F120" s="28">
        <v>5</v>
      </c>
      <c r="G120" s="28">
        <v>75</v>
      </c>
    </row>
    <row r="121" spans="1:7" s="29" customFormat="1" ht="12.75" x14ac:dyDescent="0.2">
      <c r="A121" s="28"/>
      <c r="B121" s="21"/>
      <c r="C121" s="21"/>
      <c r="D121" s="21" t="s">
        <v>627</v>
      </c>
      <c r="E121" s="28"/>
      <c r="F121" s="28">
        <v>17</v>
      </c>
      <c r="G121" s="28">
        <v>95</v>
      </c>
    </row>
    <row r="122" spans="1:7" s="29" customFormat="1" ht="12.75" x14ac:dyDescent="0.2">
      <c r="A122" s="28"/>
      <c r="B122" s="21"/>
      <c r="C122" s="21" t="s">
        <v>628</v>
      </c>
      <c r="D122" s="21" t="s">
        <v>629</v>
      </c>
      <c r="E122" s="28"/>
      <c r="F122" s="28"/>
      <c r="G122" s="28">
        <v>260</v>
      </c>
    </row>
    <row r="123" spans="1:7" s="29" customFormat="1" ht="12.75" x14ac:dyDescent="0.2">
      <c r="A123" s="28"/>
      <c r="B123" s="21"/>
      <c r="C123" s="21"/>
      <c r="D123" s="21"/>
      <c r="E123" s="28"/>
      <c r="F123" s="28"/>
      <c r="G123" s="28"/>
    </row>
    <row r="124" spans="1:7" s="29" customFormat="1" ht="12.75" x14ac:dyDescent="0.2">
      <c r="A124" s="28"/>
      <c r="B124" s="21"/>
      <c r="C124" s="21"/>
      <c r="D124" s="21"/>
      <c r="E124" s="28"/>
      <c r="F124" s="28"/>
      <c r="G124" s="28"/>
    </row>
    <row r="125" spans="1:7" s="29" customFormat="1" ht="12.75" x14ac:dyDescent="0.2">
      <c r="A125" s="28"/>
      <c r="B125" s="21"/>
      <c r="C125" s="21"/>
      <c r="D125" s="21"/>
      <c r="E125" s="28"/>
      <c r="F125" s="28"/>
      <c r="G125" s="28"/>
    </row>
    <row r="126" spans="1:7" s="29" customFormat="1" ht="12.75" x14ac:dyDescent="0.2">
      <c r="A126" s="28"/>
      <c r="B126" s="21"/>
      <c r="C126" s="21"/>
      <c r="D126" s="21"/>
      <c r="E126" s="28"/>
      <c r="F126" s="28"/>
      <c r="G126" s="28"/>
    </row>
    <row r="127" spans="1:7" s="29" customFormat="1" ht="12.75" x14ac:dyDescent="0.2">
      <c r="A127" s="28"/>
      <c r="B127" s="21"/>
      <c r="C127" s="21"/>
      <c r="D127" s="21"/>
      <c r="E127" s="28"/>
      <c r="F127" s="28"/>
      <c r="G127" s="28"/>
    </row>
    <row r="128" spans="1:7" s="29" customFormat="1" ht="12.75" x14ac:dyDescent="0.2">
      <c r="A128" s="28"/>
      <c r="B128" s="21"/>
      <c r="C128" s="21"/>
      <c r="D128" s="21"/>
      <c r="E128" s="28"/>
      <c r="F128" s="28"/>
      <c r="G128" s="28"/>
    </row>
    <row r="129" spans="1:7" s="29" customFormat="1" ht="12.75" x14ac:dyDescent="0.2">
      <c r="A129" s="28"/>
      <c r="B129" s="21"/>
      <c r="C129" s="21"/>
      <c r="D129" s="21"/>
      <c r="E129" s="28"/>
      <c r="F129" s="28"/>
      <c r="G129" s="28"/>
    </row>
    <row r="130" spans="1:7" s="29" customFormat="1" ht="12.75" x14ac:dyDescent="0.2">
      <c r="A130" s="28"/>
      <c r="B130" s="21"/>
      <c r="C130" s="21"/>
      <c r="D130" s="21"/>
      <c r="E130" s="28"/>
      <c r="F130" s="28"/>
      <c r="G130" s="28"/>
    </row>
    <row r="131" spans="1:7" s="29" customFormat="1" ht="12.75" x14ac:dyDescent="0.2">
      <c r="A131" s="28"/>
      <c r="B131" s="21"/>
      <c r="C131" s="21"/>
      <c r="D131" s="21"/>
      <c r="E131" s="28"/>
      <c r="F131" s="28"/>
      <c r="G131" s="28"/>
    </row>
    <row r="132" spans="1:7" s="29" customFormat="1" ht="12.75" x14ac:dyDescent="0.2">
      <c r="A132" s="28"/>
      <c r="B132" s="21"/>
      <c r="C132" s="21"/>
      <c r="D132" s="21"/>
      <c r="E132" s="28"/>
      <c r="F132" s="28"/>
      <c r="G132" s="28"/>
    </row>
    <row r="133" spans="1:7" s="29" customFormat="1" ht="12.75" x14ac:dyDescent="0.2">
      <c r="A133" s="28"/>
      <c r="B133" s="21"/>
      <c r="C133" s="21"/>
      <c r="D133" s="21"/>
      <c r="E133" s="28"/>
      <c r="F133" s="28"/>
      <c r="G133" s="28"/>
    </row>
    <row r="134" spans="1:7" s="29" customFormat="1" ht="12.75" x14ac:dyDescent="0.2">
      <c r="A134" s="28"/>
      <c r="B134" s="21"/>
      <c r="C134" s="21"/>
      <c r="D134" s="21"/>
      <c r="E134" s="28"/>
      <c r="F134" s="28"/>
      <c r="G134" s="28"/>
    </row>
    <row r="135" spans="1:7" s="29" customFormat="1" ht="12.75" x14ac:dyDescent="0.2">
      <c r="A135" s="28"/>
      <c r="B135" s="21"/>
      <c r="C135" s="21"/>
      <c r="D135" s="21"/>
      <c r="E135" s="28"/>
      <c r="F135" s="28"/>
      <c r="G135" s="28"/>
    </row>
    <row r="136" spans="1:7" s="29" customFormat="1" ht="12.75" x14ac:dyDescent="0.2">
      <c r="A136" s="28"/>
      <c r="B136" s="21"/>
      <c r="C136" s="21"/>
      <c r="D136" s="21"/>
      <c r="E136" s="28"/>
      <c r="F136" s="28"/>
      <c r="G136" s="28"/>
    </row>
    <row r="137" spans="1:7" s="29" customFormat="1" ht="12.75" x14ac:dyDescent="0.2">
      <c r="A137" s="28"/>
      <c r="B137" s="21"/>
      <c r="C137" s="21"/>
      <c r="D137" s="21"/>
      <c r="E137" s="28"/>
      <c r="F137" s="28"/>
      <c r="G137" s="28"/>
    </row>
    <row r="138" spans="1:7" s="29" customFormat="1" ht="12.75" x14ac:dyDescent="0.2">
      <c r="A138" s="28"/>
      <c r="B138" s="21"/>
      <c r="C138" s="21"/>
      <c r="D138" s="21"/>
      <c r="E138" s="28"/>
      <c r="F138" s="28"/>
      <c r="G138" s="28"/>
    </row>
    <row r="139" spans="1:7" s="29" customFormat="1" ht="12.75" x14ac:dyDescent="0.2">
      <c r="A139" s="28"/>
      <c r="B139" s="21"/>
      <c r="C139" s="21"/>
      <c r="D139" s="21"/>
      <c r="E139" s="28"/>
      <c r="F139" s="28"/>
      <c r="G139" s="28"/>
    </row>
    <row r="140" spans="1:7" s="29" customFormat="1" ht="12.75" x14ac:dyDescent="0.2">
      <c r="A140" s="28"/>
      <c r="B140" s="21"/>
      <c r="C140" s="21"/>
      <c r="D140" s="21"/>
      <c r="E140" s="28"/>
      <c r="F140" s="28"/>
      <c r="G140" s="28"/>
    </row>
    <row r="141" spans="1:7" s="29" customFormat="1" ht="12.75" x14ac:dyDescent="0.2">
      <c r="A141" s="28"/>
      <c r="B141" s="21"/>
      <c r="C141" s="21"/>
      <c r="D141" s="21"/>
      <c r="E141" s="28"/>
      <c r="F141" s="28"/>
      <c r="G141" s="28"/>
    </row>
    <row r="142" spans="1:7" s="29" customFormat="1" ht="12.75" x14ac:dyDescent="0.2">
      <c r="A142" s="28"/>
      <c r="B142" s="21"/>
      <c r="C142" s="21"/>
      <c r="D142" s="21"/>
      <c r="E142" s="28"/>
      <c r="F142" s="28"/>
      <c r="G142" s="28"/>
    </row>
    <row r="143" spans="1:7" s="29" customFormat="1" ht="12.75" x14ac:dyDescent="0.2">
      <c r="A143" s="28"/>
      <c r="B143" s="21"/>
      <c r="C143" s="21"/>
      <c r="D143" s="21"/>
      <c r="E143" s="28"/>
      <c r="F143" s="28"/>
      <c r="G143" s="28"/>
    </row>
    <row r="144" spans="1:7" s="29" customFormat="1" ht="12.75" x14ac:dyDescent="0.2">
      <c r="A144" s="28"/>
      <c r="B144" s="21"/>
      <c r="C144" s="21"/>
      <c r="D144" s="21"/>
      <c r="E144" s="28"/>
      <c r="F144" s="28"/>
      <c r="G144" s="28"/>
    </row>
    <row r="145" spans="1:7" s="29" customFormat="1" ht="12.75" x14ac:dyDescent="0.2">
      <c r="A145" s="28"/>
      <c r="B145" s="21"/>
      <c r="C145" s="21"/>
      <c r="D145" s="21"/>
      <c r="E145" s="28"/>
      <c r="F145" s="28"/>
      <c r="G145" s="28"/>
    </row>
    <row r="146" spans="1:7" s="29" customFormat="1" ht="12.75" x14ac:dyDescent="0.2">
      <c r="A146" s="28"/>
      <c r="B146" s="21"/>
      <c r="C146" s="21"/>
      <c r="D146" s="21"/>
      <c r="E146" s="28"/>
      <c r="F146" s="28"/>
      <c r="G146" s="28"/>
    </row>
    <row r="147" spans="1:7" s="29" customFormat="1" ht="12.75" x14ac:dyDescent="0.2">
      <c r="A147" s="28"/>
      <c r="B147" s="21"/>
      <c r="C147" s="21"/>
      <c r="D147" s="21"/>
      <c r="E147" s="28"/>
      <c r="F147" s="28"/>
      <c r="G147" s="28"/>
    </row>
    <row r="148" spans="1:7" s="29" customFormat="1" ht="12.75" x14ac:dyDescent="0.2">
      <c r="A148" s="28"/>
      <c r="B148" s="21"/>
      <c r="C148" s="21"/>
      <c r="D148" s="21"/>
      <c r="E148" s="28"/>
      <c r="F148" s="28"/>
      <c r="G148" s="28"/>
    </row>
    <row r="149" spans="1:7" s="29" customFormat="1" ht="12.75" x14ac:dyDescent="0.2">
      <c r="A149" s="28"/>
      <c r="B149" s="21"/>
      <c r="C149" s="21"/>
      <c r="D149" s="21"/>
      <c r="E149" s="28"/>
      <c r="F149" s="28"/>
      <c r="G149" s="28"/>
    </row>
    <row r="150" spans="1:7" s="29" customFormat="1" ht="12.75" x14ac:dyDescent="0.2">
      <c r="A150" s="28"/>
      <c r="B150" s="21"/>
      <c r="C150" s="21"/>
      <c r="D150" s="21"/>
      <c r="E150" s="28"/>
      <c r="F150" s="28"/>
      <c r="G150" s="28"/>
    </row>
    <row r="151" spans="1:7" s="29" customFormat="1" ht="12.75" x14ac:dyDescent="0.2">
      <c r="A151" s="28"/>
      <c r="B151" s="21"/>
      <c r="C151" s="21"/>
      <c r="D151" s="21"/>
      <c r="E151" s="28"/>
      <c r="F151" s="28"/>
      <c r="G151" s="28"/>
    </row>
    <row r="152" spans="1:7" s="29" customFormat="1" ht="12.75" x14ac:dyDescent="0.2">
      <c r="A152" s="28"/>
      <c r="B152" s="21"/>
      <c r="C152" s="21"/>
      <c r="D152" s="21"/>
      <c r="E152" s="28"/>
      <c r="F152" s="28"/>
      <c r="G152" s="28"/>
    </row>
    <row r="153" spans="1:7" s="29" customFormat="1" ht="12.75" x14ac:dyDescent="0.2">
      <c r="A153" s="28"/>
      <c r="B153" s="21"/>
      <c r="C153" s="21"/>
      <c r="D153" s="21"/>
      <c r="E153" s="28"/>
      <c r="F153" s="28"/>
      <c r="G153" s="28"/>
    </row>
    <row r="154" spans="1:7" s="29" customFormat="1" ht="12.75" x14ac:dyDescent="0.2">
      <c r="A154" s="28"/>
      <c r="B154" s="21"/>
      <c r="C154" s="21"/>
      <c r="D154" s="21"/>
      <c r="E154" s="28"/>
      <c r="F154" s="28"/>
      <c r="G154" s="28"/>
    </row>
    <row r="155" spans="1:7" s="29" customFormat="1" ht="12.75" x14ac:dyDescent="0.2">
      <c r="A155" s="28"/>
      <c r="B155" s="21"/>
      <c r="C155" s="21"/>
      <c r="D155" s="21"/>
      <c r="E155" s="28"/>
      <c r="F155" s="28"/>
      <c r="G155" s="28"/>
    </row>
    <row r="156" spans="1:7" s="29" customFormat="1" ht="12.75" x14ac:dyDescent="0.2">
      <c r="A156" s="28"/>
      <c r="B156" s="21"/>
      <c r="C156" s="21"/>
      <c r="D156" s="21"/>
      <c r="E156" s="28"/>
      <c r="F156" s="28"/>
      <c r="G156" s="28"/>
    </row>
    <row r="157" spans="1:7" s="29" customFormat="1" ht="12.75" x14ac:dyDescent="0.2">
      <c r="A157" s="28"/>
      <c r="B157" s="21"/>
      <c r="C157" s="21"/>
      <c r="D157" s="21"/>
      <c r="E157" s="28"/>
      <c r="F157" s="28"/>
      <c r="G157" s="28"/>
    </row>
    <row r="158" spans="1:7" s="29" customFormat="1" ht="12.75" x14ac:dyDescent="0.2">
      <c r="A158" s="28"/>
      <c r="B158" s="21"/>
      <c r="C158" s="21"/>
      <c r="D158" s="21"/>
      <c r="E158" s="28"/>
      <c r="F158" s="28"/>
      <c r="G158" s="28"/>
    </row>
    <row r="159" spans="1:7" s="29" customFormat="1" ht="12.75" x14ac:dyDescent="0.2">
      <c r="A159" s="28"/>
      <c r="B159" s="21"/>
      <c r="C159" s="21"/>
      <c r="D159" s="21"/>
      <c r="E159" s="28"/>
      <c r="F159" s="28"/>
      <c r="G159" s="28"/>
    </row>
    <row r="160" spans="1:7" s="29" customFormat="1" ht="12.75" x14ac:dyDescent="0.2">
      <c r="A160" s="28"/>
      <c r="B160" s="21"/>
      <c r="C160" s="21"/>
      <c r="D160" s="21"/>
      <c r="E160" s="28"/>
      <c r="F160" s="28"/>
      <c r="G160" s="28"/>
    </row>
    <row r="161" spans="1:7" s="29" customFormat="1" ht="12.75" x14ac:dyDescent="0.2">
      <c r="A161" s="28"/>
      <c r="B161" s="21"/>
      <c r="C161" s="21"/>
      <c r="D161" s="21"/>
      <c r="E161" s="28"/>
      <c r="F161" s="28"/>
      <c r="G161" s="28"/>
    </row>
    <row r="162" spans="1:7" s="29" customFormat="1" ht="12.75" x14ac:dyDescent="0.2">
      <c r="A162" s="28"/>
      <c r="B162" s="21"/>
      <c r="C162" s="21"/>
      <c r="D162" s="21"/>
      <c r="E162" s="28"/>
      <c r="F162" s="28"/>
      <c r="G162" s="28"/>
    </row>
  </sheetData>
  <autoFilter ref="A6:G92" xr:uid="{9D41E681-D68B-4200-93BA-B792C5E12669}">
    <filterColumn colId="3">
      <customFilters>
        <customFilter val="**"/>
      </customFilters>
    </filterColumn>
  </autoFilter>
  <mergeCells count="5">
    <mergeCell ref="A5:C5"/>
    <mergeCell ref="G1:G5"/>
    <mergeCell ref="A4:C4"/>
    <mergeCell ref="A3:C3"/>
    <mergeCell ref="A1:F2"/>
  </mergeCells>
  <pageMargins left="0.7" right="0.7" top="0.75" bottom="0.75" header="0.3" footer="0.3"/>
  <drawing r:id="rId1"/>
  <legacyDrawing r:id="rId2"/>
  <controls>
    <mc:AlternateContent xmlns:mc="http://schemas.openxmlformats.org/markup-compatibility/2006">
      <mc:Choice Requires="x14">
        <control shapeId="1026" r:id="rId3" name="TextBox1">
          <controlPr defaultSize="0" autoLine="0" autoPict="0" r:id="rId4">
            <anchor moveWithCells="1">
              <from>
                <xdr:col>3</xdr:col>
                <xdr:colOff>9525</xdr:colOff>
                <xdr:row>2</xdr:row>
                <xdr:rowOff>0</xdr:rowOff>
              </from>
              <to>
                <xdr:col>5</xdr:col>
                <xdr:colOff>923925</xdr:colOff>
                <xdr:row>3</xdr:row>
                <xdr:rowOff>9525</xdr:rowOff>
              </to>
            </anchor>
          </controlPr>
        </control>
      </mc:Choice>
      <mc:Fallback>
        <control shapeId="1026" r:id="rId3" name="TextBox1"/>
      </mc:Fallback>
    </mc:AlternateContent>
  </control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6EE6F8-4667-4055-A85B-EFD8AC976A0D}">
  <sheetPr codeName="Hoja8"/>
  <dimension ref="A1:G75"/>
  <sheetViews>
    <sheetView showGridLines="0" zoomScale="150" zoomScaleNormal="150" workbookViewId="0">
      <pane xSplit="7" ySplit="6" topLeftCell="H58" activePane="bottomRight" state="frozen"/>
      <selection pane="topRight" activeCell="H1" sqref="H1"/>
      <selection pane="bottomLeft" activeCell="A7" sqref="A7"/>
      <selection pane="bottomRight" activeCell="F11" sqref="F11"/>
    </sheetView>
  </sheetViews>
  <sheetFormatPr baseColWidth="10" defaultRowHeight="15" x14ac:dyDescent="0.25"/>
  <cols>
    <col min="1" max="1" width="4.28515625" style="6" bestFit="1" customWidth="1"/>
    <col min="2" max="2" width="12" style="6" customWidth="1"/>
    <col min="3" max="3" width="17.140625" style="6" customWidth="1"/>
    <col min="4" max="4" width="33.42578125" style="6" bestFit="1" customWidth="1"/>
    <col min="5" max="5" width="15" style="6" customWidth="1"/>
    <col min="6" max="6" width="14.42578125" style="16" customWidth="1"/>
    <col min="7" max="7" width="26" style="16" customWidth="1"/>
  </cols>
  <sheetData>
    <row r="1" spans="1:7" ht="15" customHeight="1" x14ac:dyDescent="0.25">
      <c r="A1" s="36" t="s">
        <v>8</v>
      </c>
      <c r="B1" s="37"/>
      <c r="C1" s="37"/>
      <c r="D1" s="37"/>
      <c r="E1" s="37"/>
      <c r="F1" s="37"/>
      <c r="G1" s="52"/>
    </row>
    <row r="2" spans="1:7" ht="39" customHeight="1" thickBot="1" x14ac:dyDescent="0.3">
      <c r="A2" s="39"/>
      <c r="B2" s="40"/>
      <c r="C2" s="40"/>
      <c r="D2" s="60"/>
      <c r="E2" s="60"/>
      <c r="F2" s="60"/>
      <c r="G2" s="53"/>
    </row>
    <row r="3" spans="1:7" ht="19.5" thickTop="1" thickBot="1" x14ac:dyDescent="0.3">
      <c r="A3" s="63" t="s">
        <v>24</v>
      </c>
      <c r="B3" s="64"/>
      <c r="C3" s="65"/>
      <c r="D3" s="7"/>
      <c r="E3" s="8"/>
      <c r="F3" s="17"/>
      <c r="G3" s="53"/>
    </row>
    <row r="4" spans="1:7" ht="15.75" thickTop="1" x14ac:dyDescent="0.25">
      <c r="A4" s="58"/>
      <c r="B4" s="58"/>
      <c r="C4" s="58"/>
      <c r="D4" s="3"/>
      <c r="E4" s="3"/>
      <c r="F4" s="3"/>
      <c r="G4" s="53"/>
    </row>
    <row r="5" spans="1:7" ht="15.75" thickBot="1" x14ac:dyDescent="0.3">
      <c r="A5" s="59" t="s">
        <v>6</v>
      </c>
      <c r="B5" s="59"/>
      <c r="C5" s="59"/>
      <c r="D5" s="10" t="s">
        <v>38</v>
      </c>
      <c r="E5" s="11" t="s">
        <v>23</v>
      </c>
      <c r="F5" s="14" t="s">
        <v>43</v>
      </c>
      <c r="G5" s="54"/>
    </row>
    <row r="6" spans="1:7" ht="27.75" customHeight="1" thickBot="1" x14ac:dyDescent="0.3">
      <c r="A6" s="12" t="s">
        <v>5</v>
      </c>
      <c r="B6" s="13" t="s">
        <v>0</v>
      </c>
      <c r="C6" s="13" t="s">
        <v>1</v>
      </c>
      <c r="D6" s="13" t="s">
        <v>2</v>
      </c>
      <c r="E6" s="13" t="s">
        <v>14</v>
      </c>
      <c r="F6" s="13" t="s">
        <v>3</v>
      </c>
      <c r="G6" s="15" t="s">
        <v>4</v>
      </c>
    </row>
    <row r="7" spans="1:7" x14ac:dyDescent="0.25">
      <c r="C7" s="6" t="s">
        <v>27</v>
      </c>
      <c r="D7" s="6" t="s">
        <v>117</v>
      </c>
    </row>
    <row r="8" spans="1:7" x14ac:dyDescent="0.25">
      <c r="C8" s="6" t="s">
        <v>27</v>
      </c>
      <c r="D8" s="6" t="s">
        <v>118</v>
      </c>
    </row>
    <row r="9" spans="1:7" x14ac:dyDescent="0.25">
      <c r="C9" s="6" t="s">
        <v>27</v>
      </c>
      <c r="D9" s="6" t="s">
        <v>119</v>
      </c>
      <c r="F9" s="16">
        <v>12</v>
      </c>
    </row>
    <row r="10" spans="1:7" x14ac:dyDescent="0.25">
      <c r="C10" s="6" t="s">
        <v>27</v>
      </c>
      <c r="D10" s="6" t="s">
        <v>28</v>
      </c>
    </row>
    <row r="11" spans="1:7" x14ac:dyDescent="0.25">
      <c r="C11" s="6" t="s">
        <v>27</v>
      </c>
      <c r="D11" s="6" t="s">
        <v>29</v>
      </c>
    </row>
    <row r="12" spans="1:7" x14ac:dyDescent="0.25">
      <c r="C12" s="6" t="s">
        <v>27</v>
      </c>
      <c r="D12" s="6" t="s">
        <v>30</v>
      </c>
    </row>
    <row r="13" spans="1:7" x14ac:dyDescent="0.25">
      <c r="C13" s="6" t="s">
        <v>27</v>
      </c>
      <c r="D13" s="6" t="s">
        <v>31</v>
      </c>
    </row>
    <row r="14" spans="1:7" x14ac:dyDescent="0.25">
      <c r="C14" s="6" t="s">
        <v>27</v>
      </c>
      <c r="D14" s="6" t="s">
        <v>32</v>
      </c>
    </row>
    <row r="15" spans="1:7" x14ac:dyDescent="0.25">
      <c r="C15" s="6" t="s">
        <v>27</v>
      </c>
      <c r="D15" s="6" t="s">
        <v>34</v>
      </c>
    </row>
    <row r="16" spans="1:7" x14ac:dyDescent="0.25">
      <c r="C16" s="6" t="s">
        <v>27</v>
      </c>
      <c r="D16" s="6" t="s">
        <v>33</v>
      </c>
    </row>
    <row r="17" spans="3:7" x14ac:dyDescent="0.25">
      <c r="C17" s="6" t="s">
        <v>27</v>
      </c>
      <c r="D17" s="6" t="s">
        <v>393</v>
      </c>
      <c r="G17" s="16" t="s">
        <v>625</v>
      </c>
    </row>
    <row r="18" spans="3:7" x14ac:dyDescent="0.25">
      <c r="C18" s="6" t="s">
        <v>27</v>
      </c>
      <c r="D18" s="6" t="s">
        <v>431</v>
      </c>
      <c r="F18" s="16">
        <v>35</v>
      </c>
    </row>
    <row r="19" spans="3:7" x14ac:dyDescent="0.25">
      <c r="C19" s="6" t="s">
        <v>27</v>
      </c>
      <c r="D19" s="6" t="s">
        <v>493</v>
      </c>
    </row>
    <row r="20" spans="3:7" x14ac:dyDescent="0.25">
      <c r="C20" s="6" t="s">
        <v>27</v>
      </c>
    </row>
    <row r="21" spans="3:7" x14ac:dyDescent="0.25">
      <c r="C21" s="6" t="s">
        <v>27</v>
      </c>
    </row>
    <row r="22" spans="3:7" x14ac:dyDescent="0.25">
      <c r="C22" s="6" t="s">
        <v>27</v>
      </c>
    </row>
    <row r="23" spans="3:7" x14ac:dyDescent="0.25">
      <c r="C23" s="6" t="s">
        <v>27</v>
      </c>
    </row>
    <row r="24" spans="3:7" x14ac:dyDescent="0.25">
      <c r="C24" s="6" t="s">
        <v>27</v>
      </c>
    </row>
    <row r="25" spans="3:7" x14ac:dyDescent="0.25">
      <c r="C25" s="6" t="s">
        <v>27</v>
      </c>
    </row>
    <row r="26" spans="3:7" x14ac:dyDescent="0.25">
      <c r="C26" s="6" t="s">
        <v>27</v>
      </c>
    </row>
    <row r="27" spans="3:7" x14ac:dyDescent="0.25">
      <c r="C27" s="6" t="s">
        <v>27</v>
      </c>
    </row>
    <row r="28" spans="3:7" x14ac:dyDescent="0.25">
      <c r="C28" s="6" t="s">
        <v>27</v>
      </c>
    </row>
    <row r="29" spans="3:7" x14ac:dyDescent="0.25">
      <c r="C29" s="6" t="s">
        <v>27</v>
      </c>
    </row>
    <row r="30" spans="3:7" x14ac:dyDescent="0.25">
      <c r="C30" s="6" t="s">
        <v>27</v>
      </c>
    </row>
    <row r="31" spans="3:7" x14ac:dyDescent="0.25">
      <c r="C31" s="6" t="s">
        <v>27</v>
      </c>
    </row>
    <row r="32" spans="3:7" x14ac:dyDescent="0.25">
      <c r="C32" s="6" t="s">
        <v>27</v>
      </c>
    </row>
    <row r="33" spans="3:3" x14ac:dyDescent="0.25">
      <c r="C33" s="6" t="s">
        <v>27</v>
      </c>
    </row>
    <row r="34" spans="3:3" x14ac:dyDescent="0.25">
      <c r="C34" s="6" t="s">
        <v>27</v>
      </c>
    </row>
    <row r="35" spans="3:3" x14ac:dyDescent="0.25">
      <c r="C35" s="6" t="s">
        <v>27</v>
      </c>
    </row>
    <row r="36" spans="3:3" x14ac:dyDescent="0.25">
      <c r="C36" s="6" t="s">
        <v>27</v>
      </c>
    </row>
    <row r="37" spans="3:3" x14ac:dyDescent="0.25">
      <c r="C37" s="6" t="s">
        <v>27</v>
      </c>
    </row>
    <row r="38" spans="3:3" x14ac:dyDescent="0.25">
      <c r="C38" s="6" t="s">
        <v>27</v>
      </c>
    </row>
    <row r="39" spans="3:3" x14ac:dyDescent="0.25">
      <c r="C39" s="6" t="s">
        <v>27</v>
      </c>
    </row>
    <row r="40" spans="3:3" x14ac:dyDescent="0.25">
      <c r="C40" s="6" t="s">
        <v>27</v>
      </c>
    </row>
    <row r="41" spans="3:3" x14ac:dyDescent="0.25">
      <c r="C41" s="6" t="s">
        <v>27</v>
      </c>
    </row>
    <row r="42" spans="3:3" x14ac:dyDescent="0.25">
      <c r="C42" s="6" t="s">
        <v>27</v>
      </c>
    </row>
    <row r="43" spans="3:3" x14ac:dyDescent="0.25">
      <c r="C43" s="6" t="s">
        <v>27</v>
      </c>
    </row>
    <row r="44" spans="3:3" x14ac:dyDescent="0.25">
      <c r="C44" s="6" t="s">
        <v>27</v>
      </c>
    </row>
    <row r="45" spans="3:3" x14ac:dyDescent="0.25">
      <c r="C45" s="6" t="s">
        <v>27</v>
      </c>
    </row>
    <row r="46" spans="3:3" x14ac:dyDescent="0.25">
      <c r="C46" s="6" t="s">
        <v>27</v>
      </c>
    </row>
    <row r="47" spans="3:3" x14ac:dyDescent="0.25">
      <c r="C47" s="6" t="s">
        <v>27</v>
      </c>
    </row>
    <row r="48" spans="3:3" x14ac:dyDescent="0.25">
      <c r="C48" s="6" t="s">
        <v>27</v>
      </c>
    </row>
    <row r="49" spans="3:3" x14ac:dyDescent="0.25">
      <c r="C49" s="6" t="s">
        <v>27</v>
      </c>
    </row>
    <row r="50" spans="3:3" x14ac:dyDescent="0.25">
      <c r="C50" s="6" t="s">
        <v>27</v>
      </c>
    </row>
    <row r="51" spans="3:3" x14ac:dyDescent="0.25">
      <c r="C51" s="6" t="s">
        <v>27</v>
      </c>
    </row>
    <row r="52" spans="3:3" x14ac:dyDescent="0.25">
      <c r="C52" s="6" t="s">
        <v>27</v>
      </c>
    </row>
    <row r="53" spans="3:3" x14ac:dyDescent="0.25">
      <c r="C53" s="6" t="s">
        <v>27</v>
      </c>
    </row>
    <row r="54" spans="3:3" x14ac:dyDescent="0.25">
      <c r="C54" s="6" t="s">
        <v>27</v>
      </c>
    </row>
    <row r="55" spans="3:3" x14ac:dyDescent="0.25">
      <c r="C55" s="6" t="s">
        <v>27</v>
      </c>
    </row>
    <row r="56" spans="3:3" x14ac:dyDescent="0.25">
      <c r="C56" s="6" t="s">
        <v>27</v>
      </c>
    </row>
    <row r="57" spans="3:3" x14ac:dyDescent="0.25">
      <c r="C57" s="6" t="s">
        <v>27</v>
      </c>
    </row>
    <row r="58" spans="3:3" x14ac:dyDescent="0.25">
      <c r="C58" s="6" t="s">
        <v>27</v>
      </c>
    </row>
    <row r="59" spans="3:3" x14ac:dyDescent="0.25">
      <c r="C59" s="6" t="s">
        <v>27</v>
      </c>
    </row>
    <row r="60" spans="3:3" x14ac:dyDescent="0.25">
      <c r="C60" s="6" t="s">
        <v>27</v>
      </c>
    </row>
    <row r="61" spans="3:3" x14ac:dyDescent="0.25">
      <c r="C61" s="6" t="s">
        <v>27</v>
      </c>
    </row>
    <row r="62" spans="3:3" x14ac:dyDescent="0.25">
      <c r="C62" s="6" t="s">
        <v>27</v>
      </c>
    </row>
    <row r="63" spans="3:3" x14ac:dyDescent="0.25">
      <c r="C63" s="6" t="s">
        <v>27</v>
      </c>
    </row>
    <row r="64" spans="3:3" x14ac:dyDescent="0.25">
      <c r="C64" s="6" t="s">
        <v>27</v>
      </c>
    </row>
    <row r="65" spans="3:3" x14ac:dyDescent="0.25">
      <c r="C65" s="6" t="s">
        <v>27</v>
      </c>
    </row>
    <row r="66" spans="3:3" x14ac:dyDescent="0.25">
      <c r="C66" s="6" t="s">
        <v>27</v>
      </c>
    </row>
    <row r="67" spans="3:3" x14ac:dyDescent="0.25">
      <c r="C67" s="6" t="s">
        <v>27</v>
      </c>
    </row>
    <row r="68" spans="3:3" x14ac:dyDescent="0.25">
      <c r="C68" s="6" t="s">
        <v>27</v>
      </c>
    </row>
    <row r="69" spans="3:3" x14ac:dyDescent="0.25">
      <c r="C69" s="6" t="s">
        <v>27</v>
      </c>
    </row>
    <row r="70" spans="3:3" x14ac:dyDescent="0.25">
      <c r="C70" s="6" t="s">
        <v>27</v>
      </c>
    </row>
    <row r="71" spans="3:3" x14ac:dyDescent="0.25">
      <c r="C71" s="6" t="s">
        <v>27</v>
      </c>
    </row>
    <row r="72" spans="3:3" x14ac:dyDescent="0.25">
      <c r="C72" s="6" t="s">
        <v>27</v>
      </c>
    </row>
    <row r="73" spans="3:3" x14ac:dyDescent="0.25">
      <c r="C73" s="6" t="s">
        <v>27</v>
      </c>
    </row>
    <row r="74" spans="3:3" x14ac:dyDescent="0.25">
      <c r="C74" s="6" t="s">
        <v>27</v>
      </c>
    </row>
    <row r="75" spans="3:3" x14ac:dyDescent="0.25">
      <c r="C75" s="6" t="s">
        <v>27</v>
      </c>
    </row>
  </sheetData>
  <mergeCells count="5">
    <mergeCell ref="A1:F2"/>
    <mergeCell ref="G1:G5"/>
    <mergeCell ref="A3:C3"/>
    <mergeCell ref="A4:C4"/>
    <mergeCell ref="A5:C5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C54CD-BDCE-42E7-969C-EA99551067F3}">
  <sheetPr codeName="Hoja7"/>
  <dimension ref="A1:G149"/>
  <sheetViews>
    <sheetView showGridLines="0" zoomScale="152" zoomScaleNormal="150" workbookViewId="0">
      <pane xSplit="7" ySplit="6" topLeftCell="H7" activePane="bottomRight" state="frozen"/>
      <selection pane="topRight" activeCell="H1" sqref="H1"/>
      <selection pane="bottomLeft" activeCell="A7" sqref="A7"/>
      <selection pane="bottomRight" activeCell="F35" sqref="F35"/>
    </sheetView>
  </sheetViews>
  <sheetFormatPr baseColWidth="10" defaultRowHeight="15" x14ac:dyDescent="0.25"/>
  <cols>
    <col min="1" max="1" width="4.28515625" style="4" bestFit="1" customWidth="1"/>
    <col min="2" max="2" width="12" style="4" customWidth="1"/>
    <col min="3" max="3" width="17.140625" style="4" customWidth="1"/>
    <col min="4" max="4" width="23.140625" style="4" bestFit="1" customWidth="1"/>
    <col min="5" max="5" width="15" style="5" customWidth="1"/>
    <col min="6" max="6" width="14.42578125" style="5" customWidth="1"/>
    <col min="7" max="7" width="26" style="5" customWidth="1"/>
    <col min="8" max="16384" width="11.42578125" style="1"/>
  </cols>
  <sheetData>
    <row r="1" spans="1:7" ht="15" customHeight="1" x14ac:dyDescent="0.25">
      <c r="A1" s="36" t="s">
        <v>8</v>
      </c>
      <c r="B1" s="37"/>
      <c r="C1" s="37"/>
      <c r="D1" s="37"/>
      <c r="E1" s="37"/>
      <c r="F1" s="37"/>
      <c r="G1" s="52"/>
    </row>
    <row r="2" spans="1:7" ht="39" customHeight="1" thickBot="1" x14ac:dyDescent="0.3">
      <c r="A2" s="39"/>
      <c r="B2" s="40"/>
      <c r="C2" s="40"/>
      <c r="D2" s="60"/>
      <c r="E2" s="60"/>
      <c r="F2" s="60"/>
      <c r="G2" s="53"/>
    </row>
    <row r="3" spans="1:7" ht="21" thickTop="1" thickBot="1" x14ac:dyDescent="0.3">
      <c r="A3" s="55" t="s">
        <v>24</v>
      </c>
      <c r="B3" s="56"/>
      <c r="C3" s="57"/>
      <c r="D3" s="22"/>
      <c r="E3" s="23"/>
      <c r="F3" s="24"/>
      <c r="G3" s="53"/>
    </row>
    <row r="4" spans="1:7" ht="15.75" thickTop="1" x14ac:dyDescent="0.25">
      <c r="A4" s="58"/>
      <c r="B4" s="58"/>
      <c r="C4" s="58"/>
      <c r="D4" s="3"/>
      <c r="E4" s="3"/>
      <c r="F4" s="3"/>
      <c r="G4" s="53"/>
    </row>
    <row r="5" spans="1:7" ht="15.75" thickBot="1" x14ac:dyDescent="0.3">
      <c r="A5" s="59" t="s">
        <v>6</v>
      </c>
      <c r="B5" s="59"/>
      <c r="C5" s="59"/>
      <c r="D5" s="10" t="s">
        <v>37</v>
      </c>
      <c r="E5" s="11" t="s">
        <v>23</v>
      </c>
      <c r="F5" s="14" t="s">
        <v>45</v>
      </c>
      <c r="G5" s="54"/>
    </row>
    <row r="6" spans="1:7" ht="27.75" customHeight="1" thickBot="1" x14ac:dyDescent="0.3">
      <c r="A6" s="12" t="s">
        <v>5</v>
      </c>
      <c r="B6" s="13" t="s">
        <v>0</v>
      </c>
      <c r="C6" s="13" t="s">
        <v>1</v>
      </c>
      <c r="D6" s="13" t="s">
        <v>2</v>
      </c>
      <c r="E6" s="13" t="s">
        <v>14</v>
      </c>
      <c r="F6" s="13" t="s">
        <v>3</v>
      </c>
      <c r="G6" s="15" t="s">
        <v>4</v>
      </c>
    </row>
    <row r="7" spans="1:7" s="26" customFormat="1" ht="13.5" x14ac:dyDescent="0.25">
      <c r="A7" s="25"/>
      <c r="B7" s="25"/>
      <c r="C7" s="25" t="s">
        <v>142</v>
      </c>
      <c r="D7" s="25" t="s">
        <v>141</v>
      </c>
      <c r="E7" s="27"/>
      <c r="F7" s="27">
        <v>37</v>
      </c>
      <c r="G7" s="27"/>
    </row>
    <row r="8" spans="1:7" s="26" customFormat="1" ht="13.5" x14ac:dyDescent="0.25">
      <c r="A8" s="25"/>
      <c r="B8" s="25"/>
      <c r="C8" s="25"/>
      <c r="D8" s="25" t="s">
        <v>143</v>
      </c>
      <c r="E8" s="27"/>
      <c r="F8" s="27">
        <v>60</v>
      </c>
      <c r="G8" s="27"/>
    </row>
    <row r="9" spans="1:7" s="26" customFormat="1" ht="13.5" x14ac:dyDescent="0.25">
      <c r="A9" s="25"/>
      <c r="B9" s="25"/>
      <c r="C9" s="25"/>
      <c r="D9" s="25" t="s">
        <v>144</v>
      </c>
      <c r="E9" s="27"/>
      <c r="F9" s="27"/>
      <c r="G9" s="27"/>
    </row>
    <row r="10" spans="1:7" s="26" customFormat="1" ht="13.5" x14ac:dyDescent="0.25">
      <c r="A10" s="25"/>
      <c r="B10" s="25"/>
      <c r="C10" s="25"/>
      <c r="D10" s="25" t="s">
        <v>372</v>
      </c>
      <c r="E10" s="27">
        <v>30</v>
      </c>
      <c r="F10" s="27">
        <v>30</v>
      </c>
      <c r="G10" s="27">
        <v>870</v>
      </c>
    </row>
    <row r="11" spans="1:7" s="26" customFormat="1" ht="13.5" x14ac:dyDescent="0.25">
      <c r="A11" s="25"/>
      <c r="B11" s="25"/>
      <c r="C11" s="25"/>
      <c r="D11" s="25" t="s">
        <v>145</v>
      </c>
      <c r="E11" s="27"/>
      <c r="F11" s="27">
        <v>40</v>
      </c>
      <c r="G11" s="27"/>
    </row>
    <row r="12" spans="1:7" s="26" customFormat="1" ht="13.5" x14ac:dyDescent="0.25">
      <c r="A12" s="25"/>
      <c r="B12" s="25"/>
      <c r="C12" s="25"/>
      <c r="D12" s="25" t="s">
        <v>146</v>
      </c>
      <c r="E12" s="27"/>
      <c r="F12" s="27">
        <v>25</v>
      </c>
      <c r="G12" s="27"/>
    </row>
    <row r="13" spans="1:7" s="26" customFormat="1" ht="13.5" x14ac:dyDescent="0.25">
      <c r="A13" s="25"/>
      <c r="B13" s="25"/>
      <c r="C13" s="25"/>
      <c r="D13" s="25" t="s">
        <v>147</v>
      </c>
      <c r="E13" s="27"/>
      <c r="F13" s="27">
        <v>24</v>
      </c>
      <c r="G13" s="27"/>
    </row>
    <row r="14" spans="1:7" s="26" customFormat="1" ht="13.5" x14ac:dyDescent="0.25">
      <c r="A14" s="25"/>
      <c r="B14" s="25"/>
      <c r="C14" s="25"/>
      <c r="D14" s="25" t="s">
        <v>148</v>
      </c>
      <c r="E14" s="27"/>
      <c r="F14" s="27">
        <v>15</v>
      </c>
      <c r="G14" s="27"/>
    </row>
    <row r="15" spans="1:7" s="26" customFormat="1" ht="13.5" x14ac:dyDescent="0.25">
      <c r="A15" s="25"/>
      <c r="B15" s="25"/>
      <c r="C15" s="25"/>
      <c r="D15" s="25" t="s">
        <v>149</v>
      </c>
      <c r="E15" s="27"/>
      <c r="F15" s="27">
        <v>25</v>
      </c>
      <c r="G15" s="27"/>
    </row>
    <row r="16" spans="1:7" s="26" customFormat="1" ht="13.5" x14ac:dyDescent="0.25">
      <c r="A16" s="25"/>
      <c r="B16" s="25"/>
      <c r="C16" s="25"/>
      <c r="D16" s="25" t="s">
        <v>222</v>
      </c>
      <c r="E16" s="27"/>
      <c r="F16" s="27">
        <v>70</v>
      </c>
      <c r="G16" s="27"/>
    </row>
    <row r="17" spans="1:7" s="26" customFormat="1" ht="13.5" x14ac:dyDescent="0.25">
      <c r="A17" s="25"/>
      <c r="B17" s="25"/>
      <c r="C17" s="25"/>
      <c r="D17" s="25" t="s">
        <v>255</v>
      </c>
      <c r="E17" s="27"/>
      <c r="F17" s="27"/>
      <c r="G17" s="27">
        <v>50</v>
      </c>
    </row>
    <row r="18" spans="1:7" s="26" customFormat="1" ht="13.5" x14ac:dyDescent="0.25">
      <c r="A18" s="25"/>
      <c r="B18" s="25"/>
      <c r="C18" s="25"/>
      <c r="D18" s="25" t="s">
        <v>256</v>
      </c>
      <c r="E18" s="27"/>
      <c r="F18" s="27"/>
      <c r="G18" s="27">
        <v>40</v>
      </c>
    </row>
    <row r="19" spans="1:7" s="26" customFormat="1" ht="13.5" x14ac:dyDescent="0.25">
      <c r="A19" s="25"/>
      <c r="B19" s="25"/>
      <c r="C19" s="25"/>
      <c r="D19" s="25" t="s">
        <v>257</v>
      </c>
      <c r="E19" s="27"/>
      <c r="F19" s="27"/>
      <c r="G19" s="27">
        <v>15</v>
      </c>
    </row>
    <row r="20" spans="1:7" s="26" customFormat="1" ht="13.5" x14ac:dyDescent="0.25">
      <c r="A20" s="25"/>
      <c r="B20" s="25"/>
      <c r="C20" s="25"/>
      <c r="D20" s="25" t="s">
        <v>260</v>
      </c>
      <c r="E20" s="27"/>
      <c r="F20" s="27"/>
      <c r="G20" s="27">
        <v>22</v>
      </c>
    </row>
    <row r="21" spans="1:7" s="26" customFormat="1" ht="13.5" x14ac:dyDescent="0.25">
      <c r="A21" s="25"/>
      <c r="B21" s="25"/>
      <c r="C21" s="25"/>
      <c r="D21" s="25" t="s">
        <v>261</v>
      </c>
      <c r="E21" s="27"/>
      <c r="F21" s="27"/>
      <c r="G21" s="27">
        <v>40</v>
      </c>
    </row>
    <row r="22" spans="1:7" s="26" customFormat="1" ht="13.5" x14ac:dyDescent="0.25">
      <c r="A22" s="25"/>
      <c r="B22" s="25"/>
      <c r="C22" s="25"/>
      <c r="D22" s="25" t="s">
        <v>364</v>
      </c>
      <c r="E22" s="27"/>
      <c r="F22" s="27"/>
      <c r="G22" s="27">
        <v>38</v>
      </c>
    </row>
    <row r="23" spans="1:7" s="26" customFormat="1" ht="13.5" x14ac:dyDescent="0.25">
      <c r="A23" s="25"/>
      <c r="B23" s="25"/>
      <c r="C23" s="25"/>
      <c r="D23" s="25" t="s">
        <v>365</v>
      </c>
      <c r="E23" s="27"/>
      <c r="F23" s="27"/>
      <c r="G23" s="27">
        <v>28</v>
      </c>
    </row>
    <row r="24" spans="1:7" s="26" customFormat="1" ht="13.5" x14ac:dyDescent="0.25">
      <c r="A24" s="25"/>
      <c r="B24" s="25"/>
      <c r="C24" s="25"/>
      <c r="D24" s="25" t="s">
        <v>269</v>
      </c>
      <c r="E24" s="27"/>
      <c r="F24" s="27">
        <v>45</v>
      </c>
      <c r="G24" s="27">
        <v>45</v>
      </c>
    </row>
    <row r="25" spans="1:7" s="26" customFormat="1" ht="13.5" x14ac:dyDescent="0.25">
      <c r="A25" s="25"/>
      <c r="B25" s="25"/>
      <c r="C25" s="25"/>
      <c r="D25" s="25" t="s">
        <v>270</v>
      </c>
      <c r="E25" s="27"/>
      <c r="F25" s="27">
        <v>25</v>
      </c>
      <c r="G25" s="27"/>
    </row>
    <row r="26" spans="1:7" s="26" customFormat="1" ht="13.5" x14ac:dyDescent="0.25">
      <c r="A26" s="25"/>
      <c r="B26" s="25"/>
      <c r="C26" s="25"/>
      <c r="D26" s="25" t="s">
        <v>271</v>
      </c>
      <c r="E26" s="27"/>
      <c r="F26" s="27">
        <v>55</v>
      </c>
      <c r="G26" s="27">
        <v>22</v>
      </c>
    </row>
    <row r="27" spans="1:7" s="26" customFormat="1" ht="13.5" x14ac:dyDescent="0.25">
      <c r="A27" s="25"/>
      <c r="B27" s="25"/>
      <c r="C27" s="25"/>
      <c r="D27" s="25" t="s">
        <v>272</v>
      </c>
      <c r="E27" s="27"/>
      <c r="F27" s="27">
        <v>55</v>
      </c>
      <c r="G27" s="27"/>
    </row>
    <row r="28" spans="1:7" s="26" customFormat="1" ht="13.5" x14ac:dyDescent="0.25">
      <c r="A28" s="25"/>
      <c r="B28" s="25"/>
      <c r="C28" s="25"/>
      <c r="D28" s="25" t="s">
        <v>273</v>
      </c>
      <c r="E28" s="27"/>
      <c r="F28" s="27">
        <v>50</v>
      </c>
      <c r="G28" s="27"/>
    </row>
    <row r="29" spans="1:7" s="26" customFormat="1" ht="13.5" x14ac:dyDescent="0.25">
      <c r="A29" s="25"/>
      <c r="B29" s="25"/>
      <c r="C29" s="25"/>
      <c r="D29" s="25" t="s">
        <v>292</v>
      </c>
      <c r="E29" s="27">
        <v>24</v>
      </c>
      <c r="F29" s="27">
        <v>145</v>
      </c>
      <c r="G29" s="27">
        <f>+F29/E29</f>
        <v>6.041666666666667</v>
      </c>
    </row>
    <row r="30" spans="1:7" s="26" customFormat="1" ht="13.5" x14ac:dyDescent="0.25">
      <c r="A30" s="25"/>
      <c r="B30" s="25"/>
      <c r="C30" s="25"/>
      <c r="D30" s="25" t="s">
        <v>491</v>
      </c>
      <c r="E30" s="27"/>
      <c r="F30" s="27"/>
      <c r="G30" s="27"/>
    </row>
    <row r="31" spans="1:7" s="26" customFormat="1" ht="13.5" x14ac:dyDescent="0.25">
      <c r="A31" s="25"/>
      <c r="B31" s="25"/>
      <c r="C31" s="25" t="s">
        <v>316</v>
      </c>
      <c r="D31" s="25" t="s">
        <v>315</v>
      </c>
      <c r="E31" s="27"/>
      <c r="F31" s="27">
        <v>17</v>
      </c>
      <c r="G31" s="27"/>
    </row>
    <row r="32" spans="1:7" s="26" customFormat="1" ht="13.5" x14ac:dyDescent="0.25">
      <c r="A32" s="25"/>
      <c r="B32" s="25"/>
      <c r="C32" s="25"/>
      <c r="D32" s="25" t="s">
        <v>366</v>
      </c>
      <c r="E32" s="27"/>
      <c r="F32" s="27">
        <v>48</v>
      </c>
      <c r="G32" s="27"/>
    </row>
    <row r="33" spans="1:7" s="26" customFormat="1" ht="13.5" x14ac:dyDescent="0.25">
      <c r="A33" s="25"/>
      <c r="B33" s="25"/>
      <c r="C33" s="25"/>
      <c r="D33" s="25" t="s">
        <v>367</v>
      </c>
      <c r="E33" s="27"/>
      <c r="F33" s="27">
        <v>25</v>
      </c>
      <c r="G33" s="27"/>
    </row>
    <row r="34" spans="1:7" s="26" customFormat="1" ht="13.5" x14ac:dyDescent="0.25">
      <c r="A34" s="25"/>
      <c r="B34" s="25"/>
      <c r="C34" s="25"/>
      <c r="D34" s="25" t="s">
        <v>368</v>
      </c>
      <c r="E34" s="27">
        <v>32</v>
      </c>
      <c r="F34" s="27">
        <v>18</v>
      </c>
      <c r="G34" s="27">
        <v>520</v>
      </c>
    </row>
    <row r="35" spans="1:7" s="26" customFormat="1" ht="13.5" x14ac:dyDescent="0.25">
      <c r="A35" s="25"/>
      <c r="B35" s="25"/>
      <c r="C35" s="25"/>
      <c r="D35" s="25" t="s">
        <v>373</v>
      </c>
      <c r="E35" s="27"/>
      <c r="F35" s="27">
        <v>38</v>
      </c>
      <c r="G35" s="27"/>
    </row>
    <row r="36" spans="1:7" s="26" customFormat="1" ht="13.5" x14ac:dyDescent="0.25">
      <c r="A36" s="25"/>
      <c r="B36" s="25"/>
      <c r="C36" s="25"/>
      <c r="D36" s="25" t="s">
        <v>374</v>
      </c>
      <c r="E36" s="27"/>
      <c r="F36" s="27">
        <v>45</v>
      </c>
      <c r="G36" s="27"/>
    </row>
    <row r="37" spans="1:7" s="26" customFormat="1" ht="13.5" x14ac:dyDescent="0.25">
      <c r="A37" s="25"/>
      <c r="B37" s="25"/>
      <c r="C37" s="25"/>
      <c r="D37" s="25" t="s">
        <v>390</v>
      </c>
      <c r="E37" s="27"/>
      <c r="F37" s="27">
        <v>15</v>
      </c>
      <c r="G37" s="27">
        <v>270</v>
      </c>
    </row>
    <row r="38" spans="1:7" s="26" customFormat="1" ht="13.5" x14ac:dyDescent="0.25">
      <c r="A38" s="25"/>
      <c r="B38" s="25"/>
      <c r="C38" s="25"/>
      <c r="D38" s="25" t="s">
        <v>421</v>
      </c>
      <c r="E38" s="27"/>
      <c r="F38" s="27"/>
      <c r="G38" s="27">
        <v>225</v>
      </c>
    </row>
    <row r="39" spans="1:7" s="26" customFormat="1" ht="13.5" x14ac:dyDescent="0.25">
      <c r="A39" s="25"/>
      <c r="B39" s="25"/>
      <c r="C39" s="25"/>
      <c r="D39" s="25" t="s">
        <v>422</v>
      </c>
      <c r="E39" s="27"/>
      <c r="F39" s="27"/>
      <c r="G39" s="27">
        <v>225</v>
      </c>
    </row>
    <row r="40" spans="1:7" s="26" customFormat="1" ht="13.5" x14ac:dyDescent="0.25">
      <c r="A40" s="25"/>
      <c r="B40" s="25"/>
      <c r="C40" s="25"/>
      <c r="D40" s="25" t="s">
        <v>441</v>
      </c>
      <c r="E40" s="27">
        <v>30</v>
      </c>
      <c r="F40" s="27">
        <v>27</v>
      </c>
      <c r="G40" s="27"/>
    </row>
    <row r="41" spans="1:7" s="26" customFormat="1" ht="13.5" x14ac:dyDescent="0.25">
      <c r="A41" s="25"/>
      <c r="B41" s="25"/>
      <c r="C41" s="25"/>
      <c r="D41" s="25" t="s">
        <v>487</v>
      </c>
      <c r="E41" s="27"/>
      <c r="F41" s="27"/>
      <c r="G41" s="27">
        <v>75</v>
      </c>
    </row>
    <row r="42" spans="1:7" s="26" customFormat="1" ht="13.5" x14ac:dyDescent="0.25">
      <c r="A42" s="25"/>
      <c r="B42" s="25"/>
      <c r="C42" s="25"/>
      <c r="D42" s="25" t="s">
        <v>145</v>
      </c>
      <c r="E42" s="27"/>
      <c r="F42" s="27">
        <v>37.5</v>
      </c>
      <c r="G42" s="27">
        <f>+F42*12</f>
        <v>450</v>
      </c>
    </row>
    <row r="43" spans="1:7" s="26" customFormat="1" ht="13.5" x14ac:dyDescent="0.25">
      <c r="A43" s="25"/>
      <c r="B43" s="25"/>
      <c r="C43" s="25"/>
      <c r="D43" s="25" t="s">
        <v>509</v>
      </c>
      <c r="E43" s="27"/>
      <c r="F43" s="27"/>
      <c r="G43" s="27">
        <v>155</v>
      </c>
    </row>
    <row r="44" spans="1:7" s="26" customFormat="1" ht="13.5" x14ac:dyDescent="0.25">
      <c r="A44" s="25"/>
      <c r="B44" s="25"/>
      <c r="C44" s="25"/>
      <c r="D44" s="25" t="s">
        <v>510</v>
      </c>
      <c r="E44" s="27"/>
      <c r="F44" s="27">
        <v>32</v>
      </c>
      <c r="G44" s="27"/>
    </row>
    <row r="45" spans="1:7" s="26" customFormat="1" ht="13.5" x14ac:dyDescent="0.25">
      <c r="A45" s="25"/>
      <c r="B45" s="25"/>
      <c r="C45" s="25"/>
      <c r="D45" s="25" t="s">
        <v>524</v>
      </c>
      <c r="E45" s="27"/>
      <c r="F45" s="27"/>
      <c r="G45" s="27">
        <v>95</v>
      </c>
    </row>
    <row r="46" spans="1:7" s="26" customFormat="1" ht="13.5" x14ac:dyDescent="0.25">
      <c r="A46" s="25"/>
      <c r="B46" s="25"/>
      <c r="C46" s="25"/>
      <c r="D46" s="25" t="s">
        <v>525</v>
      </c>
      <c r="E46" s="27"/>
      <c r="F46" s="27"/>
      <c r="G46" s="27">
        <v>55</v>
      </c>
    </row>
    <row r="47" spans="1:7" s="26" customFormat="1" ht="13.5" x14ac:dyDescent="0.25">
      <c r="A47" s="25"/>
      <c r="B47" s="25"/>
      <c r="C47" s="25"/>
      <c r="D47" s="25" t="s">
        <v>530</v>
      </c>
      <c r="E47" s="27"/>
      <c r="F47" s="27">
        <v>55</v>
      </c>
      <c r="G47" s="27"/>
    </row>
    <row r="48" spans="1:7" s="26" customFormat="1" ht="13.5" x14ac:dyDescent="0.25">
      <c r="A48" s="25"/>
      <c r="B48" s="25"/>
      <c r="C48" s="25"/>
      <c r="D48" s="25" t="s">
        <v>531</v>
      </c>
      <c r="E48" s="27"/>
      <c r="F48" s="27">
        <v>65</v>
      </c>
      <c r="G48" s="27"/>
    </row>
    <row r="49" spans="1:7" s="26" customFormat="1" ht="13.5" x14ac:dyDescent="0.25">
      <c r="A49" s="25"/>
      <c r="B49" s="25"/>
      <c r="C49" s="25"/>
      <c r="D49" s="25" t="s">
        <v>542</v>
      </c>
      <c r="E49" s="27"/>
      <c r="F49" s="27">
        <v>28</v>
      </c>
      <c r="G49" s="27"/>
    </row>
    <row r="50" spans="1:7" s="26" customFormat="1" ht="13.5" x14ac:dyDescent="0.25">
      <c r="A50" s="25"/>
      <c r="B50" s="25"/>
      <c r="C50" s="25"/>
      <c r="D50" s="25" t="s">
        <v>554</v>
      </c>
      <c r="E50" s="27"/>
      <c r="F50" s="27">
        <v>22</v>
      </c>
      <c r="G50" s="27"/>
    </row>
    <row r="51" spans="1:7" s="26" customFormat="1" ht="13.5" x14ac:dyDescent="0.25">
      <c r="A51" s="25"/>
      <c r="B51" s="25"/>
      <c r="C51" s="25"/>
      <c r="D51" s="25" t="s">
        <v>553</v>
      </c>
      <c r="E51" s="27"/>
      <c r="F51" s="27">
        <v>28</v>
      </c>
      <c r="G51" s="27">
        <f>49*8</f>
        <v>392</v>
      </c>
    </row>
    <row r="52" spans="1:7" s="26" customFormat="1" ht="13.5" x14ac:dyDescent="0.25">
      <c r="A52" s="25"/>
      <c r="B52" s="25"/>
      <c r="C52" s="25"/>
      <c r="D52" s="25" t="s">
        <v>571</v>
      </c>
      <c r="E52" s="27"/>
      <c r="F52" s="27"/>
      <c r="G52" s="27"/>
    </row>
    <row r="53" spans="1:7" s="26" customFormat="1" ht="13.5" x14ac:dyDescent="0.25">
      <c r="A53" s="25"/>
      <c r="B53" s="25"/>
      <c r="C53" s="25"/>
      <c r="D53" s="25" t="s">
        <v>602</v>
      </c>
      <c r="E53" s="27"/>
      <c r="F53" s="27">
        <v>20</v>
      </c>
      <c r="G53" s="27"/>
    </row>
    <row r="54" spans="1:7" s="26" customFormat="1" ht="13.5" x14ac:dyDescent="0.25">
      <c r="A54" s="25"/>
      <c r="B54" s="25"/>
      <c r="C54" s="25"/>
      <c r="D54" s="25" t="s">
        <v>618</v>
      </c>
      <c r="E54" s="27">
        <v>60</v>
      </c>
      <c r="F54" s="27">
        <v>45</v>
      </c>
      <c r="G54" s="27"/>
    </row>
    <row r="55" spans="1:7" s="26" customFormat="1" ht="13.5" x14ac:dyDescent="0.25">
      <c r="A55" s="25"/>
      <c r="B55" s="25"/>
      <c r="C55" s="25"/>
      <c r="D55" s="25"/>
      <c r="E55" s="27"/>
      <c r="F55" s="27"/>
      <c r="G55" s="27"/>
    </row>
    <row r="56" spans="1:7" s="26" customFormat="1" ht="13.5" x14ac:dyDescent="0.25">
      <c r="A56" s="25"/>
      <c r="B56" s="25"/>
      <c r="C56" s="25"/>
      <c r="D56" s="25"/>
      <c r="E56" s="27"/>
      <c r="F56" s="27"/>
      <c r="G56" s="27"/>
    </row>
    <row r="57" spans="1:7" s="26" customFormat="1" ht="13.5" x14ac:dyDescent="0.25">
      <c r="A57" s="25"/>
      <c r="B57" s="25"/>
      <c r="C57" s="25"/>
      <c r="D57" s="25"/>
      <c r="E57" s="27"/>
      <c r="F57" s="27"/>
      <c r="G57" s="27"/>
    </row>
    <row r="58" spans="1:7" s="26" customFormat="1" ht="13.5" x14ac:dyDescent="0.25">
      <c r="A58" s="25"/>
      <c r="B58" s="25"/>
      <c r="C58" s="25"/>
      <c r="D58" s="25"/>
      <c r="E58" s="27"/>
      <c r="F58" s="27"/>
      <c r="G58" s="27"/>
    </row>
    <row r="59" spans="1:7" s="26" customFormat="1" ht="13.5" x14ac:dyDescent="0.25">
      <c r="A59" s="25"/>
      <c r="B59" s="25"/>
      <c r="C59" s="25"/>
      <c r="D59" s="25"/>
      <c r="E59" s="27"/>
      <c r="F59" s="27"/>
      <c r="G59" s="27"/>
    </row>
    <row r="60" spans="1:7" s="26" customFormat="1" ht="13.5" x14ac:dyDescent="0.25">
      <c r="A60" s="25"/>
      <c r="B60" s="25"/>
      <c r="C60" s="25"/>
      <c r="D60" s="25"/>
      <c r="E60" s="27"/>
      <c r="F60" s="27"/>
      <c r="G60" s="27"/>
    </row>
    <row r="61" spans="1:7" s="26" customFormat="1" ht="13.5" x14ac:dyDescent="0.25">
      <c r="A61" s="25"/>
      <c r="B61" s="25"/>
      <c r="C61" s="25"/>
      <c r="D61" s="25"/>
      <c r="E61" s="27"/>
      <c r="F61" s="27"/>
      <c r="G61" s="27"/>
    </row>
    <row r="62" spans="1:7" s="26" customFormat="1" ht="13.5" x14ac:dyDescent="0.25">
      <c r="A62" s="25"/>
      <c r="B62" s="25"/>
      <c r="C62" s="25"/>
      <c r="D62" s="25"/>
      <c r="E62" s="27"/>
      <c r="F62" s="27"/>
      <c r="G62" s="27"/>
    </row>
    <row r="63" spans="1:7" s="26" customFormat="1" ht="13.5" x14ac:dyDescent="0.25">
      <c r="A63" s="25"/>
      <c r="B63" s="25"/>
      <c r="C63" s="25"/>
      <c r="D63" s="25"/>
      <c r="E63" s="27"/>
      <c r="F63" s="27"/>
      <c r="G63" s="27"/>
    </row>
    <row r="64" spans="1:7" s="26" customFormat="1" ht="13.5" x14ac:dyDescent="0.25">
      <c r="A64" s="25"/>
      <c r="B64" s="25"/>
      <c r="C64" s="25"/>
      <c r="D64" s="25"/>
      <c r="E64" s="27"/>
      <c r="F64" s="27"/>
      <c r="G64" s="27"/>
    </row>
    <row r="65" spans="1:7" s="26" customFormat="1" ht="13.5" x14ac:dyDescent="0.25">
      <c r="A65" s="25"/>
      <c r="B65" s="25"/>
      <c r="C65" s="25"/>
      <c r="D65" s="25"/>
      <c r="E65" s="27"/>
      <c r="F65" s="27"/>
      <c r="G65" s="27"/>
    </row>
    <row r="66" spans="1:7" s="26" customFormat="1" ht="13.5" x14ac:dyDescent="0.25">
      <c r="A66" s="25"/>
      <c r="B66" s="25"/>
      <c r="C66" s="25"/>
      <c r="D66" s="25"/>
      <c r="E66" s="27"/>
      <c r="F66" s="27"/>
      <c r="G66" s="27"/>
    </row>
    <row r="67" spans="1:7" s="26" customFormat="1" ht="13.5" x14ac:dyDescent="0.25">
      <c r="A67" s="25"/>
      <c r="B67" s="25"/>
      <c r="C67" s="25"/>
      <c r="D67" s="25"/>
      <c r="E67" s="27"/>
      <c r="F67" s="27"/>
      <c r="G67" s="27"/>
    </row>
    <row r="68" spans="1:7" s="26" customFormat="1" ht="13.5" x14ac:dyDescent="0.25">
      <c r="A68" s="25"/>
      <c r="B68" s="25"/>
      <c r="C68" s="25"/>
      <c r="D68" s="25"/>
      <c r="E68" s="27"/>
      <c r="F68" s="27"/>
      <c r="G68" s="27"/>
    </row>
    <row r="69" spans="1:7" s="26" customFormat="1" ht="13.5" x14ac:dyDescent="0.25">
      <c r="A69" s="25"/>
      <c r="B69" s="25"/>
      <c r="C69" s="25"/>
      <c r="D69" s="25"/>
      <c r="E69" s="27"/>
      <c r="F69" s="27"/>
      <c r="G69" s="27"/>
    </row>
    <row r="70" spans="1:7" s="26" customFormat="1" ht="13.5" x14ac:dyDescent="0.25">
      <c r="A70" s="25"/>
      <c r="B70" s="25"/>
      <c r="C70" s="25"/>
      <c r="D70" s="25"/>
      <c r="E70" s="27"/>
      <c r="F70" s="27"/>
      <c r="G70" s="27"/>
    </row>
    <row r="71" spans="1:7" s="26" customFormat="1" ht="13.5" x14ac:dyDescent="0.25">
      <c r="A71" s="25"/>
      <c r="B71" s="25"/>
      <c r="C71" s="25"/>
      <c r="D71" s="25"/>
      <c r="E71" s="27"/>
      <c r="F71" s="27"/>
      <c r="G71" s="27"/>
    </row>
    <row r="72" spans="1:7" s="26" customFormat="1" ht="13.5" x14ac:dyDescent="0.25">
      <c r="A72" s="25"/>
      <c r="B72" s="25"/>
      <c r="C72" s="25"/>
      <c r="D72" s="25"/>
      <c r="E72" s="27"/>
      <c r="F72" s="27"/>
      <c r="G72" s="27"/>
    </row>
    <row r="73" spans="1:7" s="26" customFormat="1" ht="13.5" x14ac:dyDescent="0.25">
      <c r="A73" s="25"/>
      <c r="B73" s="25"/>
      <c r="C73" s="25"/>
      <c r="D73" s="25"/>
      <c r="E73" s="27"/>
      <c r="F73" s="27"/>
      <c r="G73" s="27"/>
    </row>
    <row r="74" spans="1:7" s="26" customFormat="1" ht="13.5" x14ac:dyDescent="0.25">
      <c r="A74" s="25"/>
      <c r="B74" s="25"/>
      <c r="C74" s="25"/>
      <c r="D74" s="25"/>
      <c r="E74" s="27"/>
      <c r="F74" s="27"/>
      <c r="G74" s="27"/>
    </row>
    <row r="75" spans="1:7" s="26" customFormat="1" ht="13.5" x14ac:dyDescent="0.25">
      <c r="A75" s="25"/>
      <c r="B75" s="25"/>
      <c r="C75" s="25"/>
      <c r="D75" s="25"/>
      <c r="E75" s="27"/>
      <c r="F75" s="27"/>
      <c r="G75" s="27"/>
    </row>
    <row r="76" spans="1:7" s="26" customFormat="1" ht="13.5" x14ac:dyDescent="0.25">
      <c r="A76" s="25"/>
      <c r="B76" s="25"/>
      <c r="C76" s="25"/>
      <c r="D76" s="25"/>
      <c r="E76" s="27"/>
      <c r="F76" s="27"/>
      <c r="G76" s="27"/>
    </row>
    <row r="77" spans="1:7" s="26" customFormat="1" ht="13.5" x14ac:dyDescent="0.25">
      <c r="A77" s="25"/>
      <c r="B77" s="25"/>
      <c r="C77" s="25"/>
      <c r="D77" s="25"/>
      <c r="E77" s="27"/>
      <c r="F77" s="27"/>
      <c r="G77" s="27"/>
    </row>
    <row r="78" spans="1:7" s="26" customFormat="1" ht="13.5" x14ac:dyDescent="0.25">
      <c r="A78" s="25"/>
      <c r="B78" s="25"/>
      <c r="C78" s="25"/>
      <c r="D78" s="25"/>
      <c r="E78" s="27"/>
      <c r="F78" s="27"/>
      <c r="G78" s="27"/>
    </row>
    <row r="79" spans="1:7" s="26" customFormat="1" ht="13.5" x14ac:dyDescent="0.25">
      <c r="A79" s="25"/>
      <c r="B79" s="25"/>
      <c r="C79" s="25"/>
      <c r="D79" s="25"/>
      <c r="E79" s="27"/>
      <c r="F79" s="27"/>
      <c r="G79" s="27"/>
    </row>
    <row r="80" spans="1:7" s="26" customFormat="1" ht="13.5" x14ac:dyDescent="0.25">
      <c r="A80" s="25"/>
      <c r="B80" s="25"/>
      <c r="C80" s="25"/>
      <c r="D80" s="25"/>
      <c r="E80" s="27"/>
      <c r="F80" s="27"/>
      <c r="G80" s="27"/>
    </row>
    <row r="81" spans="1:7" s="26" customFormat="1" ht="13.5" x14ac:dyDescent="0.25">
      <c r="A81" s="25"/>
      <c r="B81" s="25"/>
      <c r="C81" s="25"/>
      <c r="D81" s="25"/>
      <c r="E81" s="27"/>
      <c r="F81" s="27"/>
      <c r="G81" s="27"/>
    </row>
    <row r="82" spans="1:7" s="26" customFormat="1" ht="13.5" x14ac:dyDescent="0.25">
      <c r="A82" s="25"/>
      <c r="B82" s="25"/>
      <c r="C82" s="25"/>
      <c r="D82" s="25"/>
      <c r="E82" s="27"/>
      <c r="F82" s="27"/>
      <c r="G82" s="27"/>
    </row>
    <row r="83" spans="1:7" s="26" customFormat="1" ht="13.5" x14ac:dyDescent="0.25">
      <c r="A83" s="25"/>
      <c r="B83" s="25"/>
      <c r="C83" s="25"/>
      <c r="D83" s="25"/>
      <c r="E83" s="27"/>
      <c r="F83" s="27"/>
      <c r="G83" s="27"/>
    </row>
    <row r="84" spans="1:7" s="26" customFormat="1" ht="13.5" x14ac:dyDescent="0.25">
      <c r="A84" s="25"/>
      <c r="B84" s="25"/>
      <c r="C84" s="25"/>
      <c r="D84" s="25"/>
      <c r="E84" s="27"/>
      <c r="F84" s="27"/>
      <c r="G84" s="27"/>
    </row>
    <row r="85" spans="1:7" s="26" customFormat="1" ht="13.5" x14ac:dyDescent="0.25">
      <c r="A85" s="25"/>
      <c r="B85" s="25"/>
      <c r="C85" s="25"/>
      <c r="D85" s="25"/>
      <c r="E85" s="27"/>
      <c r="F85" s="27"/>
      <c r="G85" s="27"/>
    </row>
    <row r="86" spans="1:7" s="26" customFormat="1" ht="13.5" x14ac:dyDescent="0.25">
      <c r="A86" s="25"/>
      <c r="B86" s="25"/>
      <c r="C86" s="25"/>
      <c r="D86" s="25"/>
      <c r="E86" s="27"/>
      <c r="F86" s="27"/>
      <c r="G86" s="27"/>
    </row>
    <row r="87" spans="1:7" s="26" customFormat="1" ht="13.5" x14ac:dyDescent="0.25">
      <c r="A87" s="25"/>
      <c r="B87" s="25"/>
      <c r="C87" s="25"/>
      <c r="D87" s="25"/>
      <c r="E87" s="27"/>
      <c r="F87" s="27"/>
      <c r="G87" s="27"/>
    </row>
    <row r="88" spans="1:7" s="26" customFormat="1" ht="13.5" x14ac:dyDescent="0.25">
      <c r="A88" s="25"/>
      <c r="B88" s="25"/>
      <c r="C88" s="25"/>
      <c r="D88" s="25"/>
      <c r="E88" s="27"/>
      <c r="F88" s="27"/>
      <c r="G88" s="27"/>
    </row>
    <row r="89" spans="1:7" s="26" customFormat="1" ht="13.5" x14ac:dyDescent="0.25">
      <c r="A89" s="25"/>
      <c r="B89" s="25"/>
      <c r="C89" s="25"/>
      <c r="D89" s="25"/>
      <c r="E89" s="27"/>
      <c r="F89" s="27"/>
      <c r="G89" s="27"/>
    </row>
    <row r="90" spans="1:7" s="26" customFormat="1" ht="13.5" x14ac:dyDescent="0.25">
      <c r="A90" s="25"/>
      <c r="B90" s="25"/>
      <c r="C90" s="25"/>
      <c r="D90" s="25"/>
      <c r="E90" s="27"/>
      <c r="F90" s="27"/>
      <c r="G90" s="27"/>
    </row>
    <row r="91" spans="1:7" s="26" customFormat="1" ht="13.5" x14ac:dyDescent="0.25">
      <c r="A91" s="25"/>
      <c r="B91" s="25"/>
      <c r="C91" s="25"/>
      <c r="D91" s="25"/>
      <c r="E91" s="27"/>
      <c r="F91" s="27"/>
      <c r="G91" s="27"/>
    </row>
    <row r="92" spans="1:7" s="26" customFormat="1" ht="13.5" x14ac:dyDescent="0.25">
      <c r="A92" s="25"/>
      <c r="B92" s="25"/>
      <c r="C92" s="25"/>
      <c r="D92" s="25"/>
      <c r="E92" s="27"/>
      <c r="F92" s="27"/>
      <c r="G92" s="27"/>
    </row>
    <row r="93" spans="1:7" s="26" customFormat="1" ht="13.5" x14ac:dyDescent="0.25">
      <c r="A93" s="25"/>
      <c r="B93" s="25"/>
      <c r="C93" s="25"/>
      <c r="D93" s="25"/>
      <c r="E93" s="27"/>
      <c r="F93" s="27"/>
      <c r="G93" s="27"/>
    </row>
    <row r="94" spans="1:7" s="26" customFormat="1" ht="13.5" x14ac:dyDescent="0.25">
      <c r="A94" s="25"/>
      <c r="B94" s="25"/>
      <c r="C94" s="25"/>
      <c r="D94" s="25"/>
      <c r="E94" s="27"/>
      <c r="F94" s="27"/>
      <c r="G94" s="27"/>
    </row>
    <row r="95" spans="1:7" s="26" customFormat="1" ht="13.5" x14ac:dyDescent="0.25">
      <c r="A95" s="25"/>
      <c r="B95" s="25"/>
      <c r="C95" s="25"/>
      <c r="D95" s="25"/>
      <c r="E95" s="27"/>
      <c r="F95" s="27"/>
      <c r="G95" s="27"/>
    </row>
    <row r="96" spans="1:7" s="26" customFormat="1" ht="13.5" x14ac:dyDescent="0.25">
      <c r="A96" s="25"/>
      <c r="B96" s="25"/>
      <c r="C96" s="25"/>
      <c r="D96" s="25"/>
      <c r="E96" s="27"/>
      <c r="F96" s="27"/>
      <c r="G96" s="27"/>
    </row>
    <row r="97" spans="1:7" s="26" customFormat="1" ht="13.5" x14ac:dyDescent="0.25">
      <c r="A97" s="25"/>
      <c r="B97" s="25"/>
      <c r="C97" s="25"/>
      <c r="D97" s="25"/>
      <c r="E97" s="27"/>
      <c r="F97" s="27"/>
      <c r="G97" s="27"/>
    </row>
    <row r="98" spans="1:7" s="26" customFormat="1" ht="13.5" x14ac:dyDescent="0.25">
      <c r="A98" s="25"/>
      <c r="B98" s="25"/>
      <c r="C98" s="25"/>
      <c r="D98" s="25"/>
      <c r="E98" s="27"/>
      <c r="F98" s="27"/>
      <c r="G98" s="27"/>
    </row>
    <row r="99" spans="1:7" s="26" customFormat="1" ht="13.5" x14ac:dyDescent="0.25">
      <c r="A99" s="25"/>
      <c r="B99" s="25"/>
      <c r="C99" s="25"/>
      <c r="D99" s="25"/>
      <c r="E99" s="27"/>
      <c r="F99" s="27"/>
      <c r="G99" s="27"/>
    </row>
    <row r="100" spans="1:7" s="26" customFormat="1" ht="13.5" x14ac:dyDescent="0.25">
      <c r="A100" s="25"/>
      <c r="B100" s="25"/>
      <c r="C100" s="25"/>
      <c r="D100" s="25"/>
      <c r="E100" s="27"/>
      <c r="F100" s="27"/>
      <c r="G100" s="27"/>
    </row>
    <row r="101" spans="1:7" s="26" customFormat="1" ht="13.5" x14ac:dyDescent="0.25">
      <c r="A101" s="25"/>
      <c r="B101" s="25"/>
      <c r="C101" s="25"/>
      <c r="D101" s="25"/>
      <c r="E101" s="27"/>
      <c r="F101" s="27"/>
      <c r="G101" s="27"/>
    </row>
    <row r="102" spans="1:7" s="26" customFormat="1" ht="13.5" x14ac:dyDescent="0.25">
      <c r="A102" s="25"/>
      <c r="B102" s="25"/>
      <c r="C102" s="25"/>
      <c r="D102" s="25"/>
      <c r="E102" s="27"/>
      <c r="F102" s="27"/>
      <c r="G102" s="27"/>
    </row>
    <row r="103" spans="1:7" s="26" customFormat="1" ht="13.5" x14ac:dyDescent="0.25">
      <c r="A103" s="25"/>
      <c r="B103" s="25"/>
      <c r="C103" s="25"/>
      <c r="D103" s="25"/>
      <c r="E103" s="27"/>
      <c r="F103" s="27"/>
      <c r="G103" s="27"/>
    </row>
    <row r="104" spans="1:7" s="26" customFormat="1" ht="13.5" x14ac:dyDescent="0.25">
      <c r="A104" s="25"/>
      <c r="B104" s="25"/>
      <c r="C104" s="25"/>
      <c r="D104" s="25"/>
      <c r="E104" s="27"/>
      <c r="F104" s="27"/>
      <c r="G104" s="27"/>
    </row>
    <row r="105" spans="1:7" s="26" customFormat="1" ht="13.5" x14ac:dyDescent="0.25">
      <c r="A105" s="25"/>
      <c r="B105" s="25"/>
      <c r="C105" s="25"/>
      <c r="D105" s="25"/>
      <c r="E105" s="27"/>
      <c r="F105" s="27"/>
      <c r="G105" s="27"/>
    </row>
    <row r="106" spans="1:7" s="26" customFormat="1" ht="13.5" x14ac:dyDescent="0.25">
      <c r="A106" s="25"/>
      <c r="B106" s="25"/>
      <c r="C106" s="25"/>
      <c r="D106" s="25"/>
      <c r="E106" s="27"/>
      <c r="F106" s="27"/>
      <c r="G106" s="27"/>
    </row>
    <row r="107" spans="1:7" s="26" customFormat="1" ht="13.5" x14ac:dyDescent="0.25">
      <c r="A107" s="25"/>
      <c r="B107" s="25"/>
      <c r="C107" s="25"/>
      <c r="D107" s="25"/>
      <c r="E107" s="27"/>
      <c r="F107" s="27"/>
      <c r="G107" s="27"/>
    </row>
    <row r="108" spans="1:7" s="26" customFormat="1" ht="13.5" x14ac:dyDescent="0.25">
      <c r="A108" s="25"/>
      <c r="B108" s="25"/>
      <c r="C108" s="25"/>
      <c r="D108" s="25"/>
      <c r="E108" s="27"/>
      <c r="F108" s="27"/>
      <c r="G108" s="27"/>
    </row>
    <row r="109" spans="1:7" s="26" customFormat="1" ht="13.5" x14ac:dyDescent="0.25">
      <c r="A109" s="25"/>
      <c r="B109" s="25"/>
      <c r="C109" s="25"/>
      <c r="D109" s="25"/>
      <c r="E109" s="27"/>
      <c r="F109" s="27"/>
      <c r="G109" s="27"/>
    </row>
    <row r="110" spans="1:7" s="26" customFormat="1" ht="13.5" x14ac:dyDescent="0.25">
      <c r="A110" s="25"/>
      <c r="B110" s="25"/>
      <c r="C110" s="25"/>
      <c r="D110" s="25"/>
      <c r="E110" s="27"/>
      <c r="F110" s="27"/>
      <c r="G110" s="27"/>
    </row>
    <row r="111" spans="1:7" s="26" customFormat="1" ht="13.5" x14ac:dyDescent="0.25">
      <c r="A111" s="25"/>
      <c r="B111" s="25"/>
      <c r="C111" s="25"/>
      <c r="D111" s="25"/>
      <c r="E111" s="27"/>
      <c r="F111" s="27"/>
      <c r="G111" s="27"/>
    </row>
    <row r="112" spans="1:7" s="26" customFormat="1" ht="13.5" x14ac:dyDescent="0.25">
      <c r="A112" s="25"/>
      <c r="B112" s="25"/>
      <c r="C112" s="25"/>
      <c r="D112" s="25"/>
      <c r="E112" s="27"/>
      <c r="F112" s="27"/>
      <c r="G112" s="27"/>
    </row>
    <row r="113" spans="1:7" s="26" customFormat="1" ht="13.5" x14ac:dyDescent="0.25">
      <c r="A113" s="25"/>
      <c r="B113" s="25"/>
      <c r="C113" s="25"/>
      <c r="D113" s="25"/>
      <c r="E113" s="27"/>
      <c r="F113" s="27"/>
      <c r="G113" s="27"/>
    </row>
    <row r="114" spans="1:7" s="26" customFormat="1" ht="13.5" x14ac:dyDescent="0.25">
      <c r="A114" s="25"/>
      <c r="B114" s="25"/>
      <c r="C114" s="25"/>
      <c r="D114" s="25"/>
      <c r="E114" s="27"/>
      <c r="F114" s="27"/>
      <c r="G114" s="27"/>
    </row>
    <row r="115" spans="1:7" s="26" customFormat="1" ht="13.5" x14ac:dyDescent="0.25">
      <c r="A115" s="25"/>
      <c r="B115" s="25"/>
      <c r="C115" s="25"/>
      <c r="D115" s="25"/>
      <c r="E115" s="27"/>
      <c r="F115" s="27"/>
      <c r="G115" s="27"/>
    </row>
    <row r="116" spans="1:7" s="26" customFormat="1" ht="13.5" x14ac:dyDescent="0.25">
      <c r="A116" s="25"/>
      <c r="B116" s="25"/>
      <c r="C116" s="25"/>
      <c r="D116" s="25"/>
      <c r="E116" s="27"/>
      <c r="F116" s="27"/>
      <c r="G116" s="27"/>
    </row>
    <row r="117" spans="1:7" s="26" customFormat="1" ht="13.5" x14ac:dyDescent="0.25">
      <c r="A117" s="25"/>
      <c r="B117" s="25"/>
      <c r="C117" s="25"/>
      <c r="D117" s="25"/>
      <c r="E117" s="27"/>
      <c r="F117" s="27"/>
      <c r="G117" s="27"/>
    </row>
    <row r="118" spans="1:7" s="26" customFormat="1" ht="13.5" x14ac:dyDescent="0.25">
      <c r="A118" s="25"/>
      <c r="B118" s="25"/>
      <c r="C118" s="25"/>
      <c r="D118" s="25"/>
      <c r="E118" s="27"/>
      <c r="F118" s="27"/>
      <c r="G118" s="27"/>
    </row>
    <row r="119" spans="1:7" s="26" customFormat="1" ht="13.5" x14ac:dyDescent="0.25">
      <c r="A119" s="25"/>
      <c r="B119" s="25"/>
      <c r="C119" s="25"/>
      <c r="D119" s="25"/>
      <c r="E119" s="27"/>
      <c r="F119" s="27"/>
      <c r="G119" s="27"/>
    </row>
    <row r="120" spans="1:7" s="26" customFormat="1" ht="13.5" x14ac:dyDescent="0.25">
      <c r="A120" s="25"/>
      <c r="B120" s="25"/>
      <c r="C120" s="25"/>
      <c r="D120" s="25"/>
      <c r="E120" s="27"/>
      <c r="F120" s="27"/>
      <c r="G120" s="27"/>
    </row>
    <row r="121" spans="1:7" s="26" customFormat="1" ht="13.5" x14ac:dyDescent="0.25">
      <c r="A121" s="25"/>
      <c r="B121" s="25"/>
      <c r="C121" s="25"/>
      <c r="D121" s="25"/>
      <c r="E121" s="27"/>
      <c r="F121" s="27"/>
      <c r="G121" s="27"/>
    </row>
    <row r="122" spans="1:7" s="26" customFormat="1" ht="13.5" x14ac:dyDescent="0.25">
      <c r="A122" s="25"/>
      <c r="B122" s="25"/>
      <c r="C122" s="25"/>
      <c r="D122" s="25"/>
      <c r="E122" s="27"/>
      <c r="F122" s="27"/>
      <c r="G122" s="27"/>
    </row>
    <row r="123" spans="1:7" s="26" customFormat="1" ht="13.5" x14ac:dyDescent="0.25">
      <c r="A123" s="25"/>
      <c r="B123" s="25"/>
      <c r="C123" s="25"/>
      <c r="D123" s="25"/>
      <c r="E123" s="27"/>
      <c r="F123" s="27"/>
      <c r="G123" s="27"/>
    </row>
    <row r="124" spans="1:7" s="26" customFormat="1" ht="13.5" x14ac:dyDescent="0.25">
      <c r="A124" s="25"/>
      <c r="B124" s="25"/>
      <c r="C124" s="25"/>
      <c r="D124" s="25"/>
      <c r="E124" s="27"/>
      <c r="F124" s="27"/>
      <c r="G124" s="27"/>
    </row>
    <row r="125" spans="1:7" s="26" customFormat="1" ht="13.5" x14ac:dyDescent="0.25">
      <c r="A125" s="25"/>
      <c r="B125" s="25"/>
      <c r="C125" s="25"/>
      <c r="D125" s="25"/>
      <c r="E125" s="27"/>
      <c r="F125" s="27"/>
      <c r="G125" s="27"/>
    </row>
    <row r="126" spans="1:7" s="26" customFormat="1" ht="13.5" x14ac:dyDescent="0.25">
      <c r="A126" s="25"/>
      <c r="B126" s="25"/>
      <c r="C126" s="25"/>
      <c r="D126" s="25"/>
      <c r="E126" s="27"/>
      <c r="F126" s="27"/>
      <c r="G126" s="27"/>
    </row>
    <row r="127" spans="1:7" s="26" customFormat="1" ht="13.5" x14ac:dyDescent="0.25">
      <c r="A127" s="25"/>
      <c r="B127" s="25"/>
      <c r="C127" s="25"/>
      <c r="D127" s="25"/>
      <c r="E127" s="27"/>
      <c r="F127" s="27"/>
      <c r="G127" s="27"/>
    </row>
    <row r="128" spans="1:7" s="26" customFormat="1" ht="13.5" x14ac:dyDescent="0.25">
      <c r="A128" s="25"/>
      <c r="B128" s="25"/>
      <c r="C128" s="25"/>
      <c r="D128" s="25"/>
      <c r="E128" s="27"/>
      <c r="F128" s="27"/>
      <c r="G128" s="27"/>
    </row>
    <row r="129" spans="1:7" s="26" customFormat="1" ht="13.5" x14ac:dyDescent="0.25">
      <c r="A129" s="25"/>
      <c r="B129" s="25"/>
      <c r="C129" s="25"/>
      <c r="D129" s="25"/>
      <c r="E129" s="27"/>
      <c r="F129" s="27"/>
      <c r="G129" s="27"/>
    </row>
    <row r="130" spans="1:7" s="26" customFormat="1" ht="13.5" x14ac:dyDescent="0.25">
      <c r="A130" s="25"/>
      <c r="B130" s="25"/>
      <c r="C130" s="25"/>
      <c r="D130" s="25"/>
      <c r="E130" s="27"/>
      <c r="F130" s="27"/>
      <c r="G130" s="27"/>
    </row>
    <row r="131" spans="1:7" s="26" customFormat="1" ht="13.5" x14ac:dyDescent="0.25">
      <c r="A131" s="25"/>
      <c r="B131" s="25"/>
      <c r="C131" s="25"/>
      <c r="D131" s="25"/>
      <c r="E131" s="27"/>
      <c r="F131" s="27"/>
      <c r="G131" s="27"/>
    </row>
    <row r="132" spans="1:7" s="26" customFormat="1" ht="13.5" x14ac:dyDescent="0.25">
      <c r="A132" s="25"/>
      <c r="B132" s="25"/>
      <c r="C132" s="25"/>
      <c r="D132" s="25"/>
      <c r="E132" s="27"/>
      <c r="F132" s="27"/>
      <c r="G132" s="27"/>
    </row>
    <row r="133" spans="1:7" s="26" customFormat="1" ht="13.5" x14ac:dyDescent="0.25">
      <c r="A133" s="25"/>
      <c r="B133" s="25"/>
      <c r="C133" s="25"/>
      <c r="D133" s="25"/>
      <c r="E133" s="27"/>
      <c r="F133" s="27"/>
      <c r="G133" s="27"/>
    </row>
    <row r="134" spans="1:7" s="26" customFormat="1" ht="13.5" x14ac:dyDescent="0.25">
      <c r="A134" s="25"/>
      <c r="B134" s="25"/>
      <c r="C134" s="25"/>
      <c r="D134" s="25"/>
      <c r="E134" s="27"/>
      <c r="F134" s="27"/>
      <c r="G134" s="27"/>
    </row>
    <row r="135" spans="1:7" s="26" customFormat="1" ht="13.5" x14ac:dyDescent="0.25">
      <c r="A135" s="25"/>
      <c r="B135" s="25"/>
      <c r="C135" s="25"/>
      <c r="D135" s="25"/>
      <c r="E135" s="27"/>
      <c r="F135" s="27"/>
      <c r="G135" s="27"/>
    </row>
    <row r="136" spans="1:7" s="26" customFormat="1" ht="13.5" x14ac:dyDescent="0.25">
      <c r="A136" s="25"/>
      <c r="B136" s="25"/>
      <c r="C136" s="25"/>
      <c r="D136" s="25"/>
      <c r="E136" s="27"/>
      <c r="F136" s="27"/>
      <c r="G136" s="27"/>
    </row>
    <row r="137" spans="1:7" s="26" customFormat="1" ht="13.5" x14ac:dyDescent="0.25">
      <c r="A137" s="25"/>
      <c r="B137" s="25"/>
      <c r="C137" s="25"/>
      <c r="D137" s="25"/>
      <c r="E137" s="27"/>
      <c r="F137" s="27"/>
      <c r="G137" s="27"/>
    </row>
    <row r="138" spans="1:7" s="26" customFormat="1" ht="13.5" x14ac:dyDescent="0.25">
      <c r="A138" s="25"/>
      <c r="B138" s="25"/>
      <c r="C138" s="25"/>
      <c r="D138" s="25"/>
      <c r="E138" s="27"/>
      <c r="F138" s="27"/>
      <c r="G138" s="27"/>
    </row>
    <row r="139" spans="1:7" s="26" customFormat="1" ht="13.5" x14ac:dyDescent="0.25">
      <c r="A139" s="25"/>
      <c r="B139" s="25"/>
      <c r="C139" s="25"/>
      <c r="D139" s="25"/>
      <c r="E139" s="27"/>
      <c r="F139" s="27"/>
      <c r="G139" s="27"/>
    </row>
    <row r="140" spans="1:7" s="26" customFormat="1" ht="13.5" x14ac:dyDescent="0.25">
      <c r="A140" s="25"/>
      <c r="B140" s="25"/>
      <c r="C140" s="25"/>
      <c r="D140" s="25"/>
      <c r="E140" s="27"/>
      <c r="F140" s="27"/>
      <c r="G140" s="27"/>
    </row>
    <row r="141" spans="1:7" s="26" customFormat="1" ht="13.5" x14ac:dyDescent="0.25">
      <c r="A141" s="25"/>
      <c r="B141" s="25"/>
      <c r="C141" s="25"/>
      <c r="D141" s="25"/>
      <c r="E141" s="27"/>
      <c r="F141" s="27"/>
      <c r="G141" s="27"/>
    </row>
    <row r="142" spans="1:7" s="26" customFormat="1" ht="13.5" x14ac:dyDescent="0.25">
      <c r="A142" s="25"/>
      <c r="B142" s="25"/>
      <c r="C142" s="25"/>
      <c r="D142" s="25"/>
      <c r="E142" s="27"/>
      <c r="F142" s="27"/>
      <c r="G142" s="27"/>
    </row>
    <row r="143" spans="1:7" s="26" customFormat="1" ht="13.5" x14ac:dyDescent="0.25">
      <c r="A143" s="25"/>
      <c r="B143" s="25"/>
      <c r="C143" s="25"/>
      <c r="D143" s="25"/>
      <c r="E143" s="27"/>
      <c r="F143" s="27"/>
      <c r="G143" s="27"/>
    </row>
    <row r="144" spans="1:7" s="26" customFormat="1" ht="13.5" x14ac:dyDescent="0.25">
      <c r="A144" s="25"/>
      <c r="B144" s="25"/>
      <c r="C144" s="25"/>
      <c r="D144" s="25"/>
      <c r="E144" s="27"/>
      <c r="F144" s="27"/>
      <c r="G144" s="27"/>
    </row>
    <row r="145" spans="1:7" s="26" customFormat="1" ht="13.5" x14ac:dyDescent="0.25">
      <c r="A145" s="25"/>
      <c r="B145" s="25"/>
      <c r="C145" s="25"/>
      <c r="D145" s="25"/>
      <c r="E145" s="27"/>
      <c r="F145" s="27"/>
      <c r="G145" s="27"/>
    </row>
    <row r="146" spans="1:7" s="26" customFormat="1" ht="13.5" x14ac:dyDescent="0.25">
      <c r="A146" s="25"/>
      <c r="B146" s="25"/>
      <c r="C146" s="25"/>
      <c r="D146" s="25"/>
      <c r="E146" s="27"/>
      <c r="F146" s="27"/>
      <c r="G146" s="27"/>
    </row>
    <row r="147" spans="1:7" s="26" customFormat="1" ht="13.5" x14ac:dyDescent="0.25">
      <c r="A147" s="25"/>
      <c r="B147" s="25"/>
      <c r="C147" s="25"/>
      <c r="D147" s="25"/>
      <c r="E147" s="27"/>
      <c r="F147" s="27"/>
      <c r="G147" s="27"/>
    </row>
    <row r="148" spans="1:7" s="26" customFormat="1" ht="13.5" x14ac:dyDescent="0.25">
      <c r="A148" s="25"/>
      <c r="B148" s="25"/>
      <c r="C148" s="25"/>
      <c r="D148" s="25"/>
      <c r="E148" s="27"/>
      <c r="F148" s="27"/>
      <c r="G148" s="27"/>
    </row>
    <row r="149" spans="1:7" s="26" customFormat="1" ht="13.5" x14ac:dyDescent="0.25">
      <c r="A149" s="25"/>
      <c r="B149" s="25"/>
      <c r="C149" s="25"/>
      <c r="D149" s="25"/>
      <c r="E149" s="27"/>
      <c r="F149" s="27"/>
      <c r="G149" s="27"/>
    </row>
  </sheetData>
  <mergeCells count="5">
    <mergeCell ref="A1:F2"/>
    <mergeCell ref="G1:G5"/>
    <mergeCell ref="A3:C3"/>
    <mergeCell ref="A4:C4"/>
    <mergeCell ref="A5:C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107768-835F-4DC8-9FCB-2177566FABBE}">
  <sheetPr codeName="Hoja6"/>
  <dimension ref="A1:H274"/>
  <sheetViews>
    <sheetView zoomScale="150" zoomScaleNormal="150" workbookViewId="0">
      <pane xSplit="7" ySplit="6" topLeftCell="H11" activePane="bottomRight" state="frozen"/>
      <selection pane="topRight" activeCell="H1" sqref="H1"/>
      <selection pane="bottomLeft" activeCell="A7" sqref="A7"/>
      <selection pane="bottomRight" activeCell="G14" sqref="G14"/>
    </sheetView>
  </sheetViews>
  <sheetFormatPr baseColWidth="10" defaultRowHeight="15" x14ac:dyDescent="0.25"/>
  <cols>
    <col min="1" max="1" width="4.28515625" style="6" bestFit="1" customWidth="1"/>
    <col min="2" max="2" width="12" style="6" customWidth="1"/>
    <col min="3" max="3" width="17.140625" style="6" customWidth="1"/>
    <col min="4" max="4" width="25.85546875" style="6" bestFit="1" customWidth="1"/>
    <col min="5" max="5" width="15" style="16" customWidth="1"/>
    <col min="6" max="6" width="14.42578125" style="16" customWidth="1"/>
    <col min="7" max="7" width="26" style="16" customWidth="1"/>
  </cols>
  <sheetData>
    <row r="1" spans="1:7" ht="15" customHeight="1" x14ac:dyDescent="0.25">
      <c r="A1" s="36" t="s">
        <v>511</v>
      </c>
      <c r="B1" s="37"/>
      <c r="C1" s="37"/>
      <c r="D1" s="37"/>
      <c r="E1" s="37"/>
      <c r="F1" s="37"/>
      <c r="G1" s="52"/>
    </row>
    <row r="2" spans="1:7" ht="39" customHeight="1" thickBot="1" x14ac:dyDescent="0.3">
      <c r="A2" s="39"/>
      <c r="B2" s="40"/>
      <c r="C2" s="40"/>
      <c r="D2" s="60"/>
      <c r="E2" s="60"/>
      <c r="F2" s="60"/>
      <c r="G2" s="53"/>
    </row>
    <row r="3" spans="1:7" ht="19.5" thickTop="1" thickBot="1" x14ac:dyDescent="0.3">
      <c r="A3" s="63" t="s">
        <v>24</v>
      </c>
      <c r="B3" s="64"/>
      <c r="C3" s="65"/>
      <c r="D3" s="7"/>
      <c r="E3" s="8"/>
      <c r="F3" s="17"/>
      <c r="G3" s="53"/>
    </row>
    <row r="4" spans="1:7" ht="15.75" thickTop="1" x14ac:dyDescent="0.25">
      <c r="A4" s="58"/>
      <c r="B4" s="58"/>
      <c r="C4" s="58"/>
      <c r="D4" s="3"/>
      <c r="E4" s="3"/>
      <c r="F4" s="3"/>
      <c r="G4" s="53"/>
    </row>
    <row r="5" spans="1:7" ht="15.75" thickBot="1" x14ac:dyDescent="0.3">
      <c r="A5" s="59" t="s">
        <v>6</v>
      </c>
      <c r="B5" s="59"/>
      <c r="C5" s="59"/>
      <c r="D5" s="10" t="s">
        <v>36</v>
      </c>
      <c r="E5" s="11" t="s">
        <v>23</v>
      </c>
      <c r="F5" s="14" t="s">
        <v>44</v>
      </c>
      <c r="G5" s="54"/>
    </row>
    <row r="6" spans="1:7" ht="27.75" customHeight="1" thickBot="1" x14ac:dyDescent="0.3">
      <c r="A6" s="12" t="s">
        <v>5</v>
      </c>
      <c r="B6" s="13" t="s">
        <v>0</v>
      </c>
      <c r="C6" s="13" t="s">
        <v>1</v>
      </c>
      <c r="D6" s="13" t="s">
        <v>2</v>
      </c>
      <c r="E6" s="13" t="s">
        <v>14</v>
      </c>
      <c r="F6" s="13" t="s">
        <v>3</v>
      </c>
      <c r="G6" s="15" t="s">
        <v>4</v>
      </c>
    </row>
    <row r="7" spans="1:7" s="26" customFormat="1" ht="13.5" x14ac:dyDescent="0.25">
      <c r="A7" s="25"/>
      <c r="B7" s="25"/>
      <c r="C7" s="25" t="s">
        <v>120</v>
      </c>
      <c r="D7" s="25" t="s">
        <v>122</v>
      </c>
      <c r="E7" s="27"/>
      <c r="F7" s="27"/>
      <c r="G7" s="27">
        <v>90</v>
      </c>
    </row>
    <row r="8" spans="1:7" s="26" customFormat="1" ht="13.5" x14ac:dyDescent="0.25">
      <c r="A8" s="25"/>
      <c r="B8" s="25"/>
      <c r="C8" s="25"/>
      <c r="D8" s="25" t="s">
        <v>121</v>
      </c>
      <c r="E8" s="27"/>
      <c r="F8" s="27"/>
      <c r="G8" s="27">
        <v>90</v>
      </c>
    </row>
    <row r="9" spans="1:7" s="26" customFormat="1" ht="13.5" x14ac:dyDescent="0.25">
      <c r="A9" s="25"/>
      <c r="B9" s="25"/>
      <c r="C9" s="25"/>
      <c r="D9" s="25" t="s">
        <v>123</v>
      </c>
      <c r="E9" s="27"/>
      <c r="F9" s="27"/>
      <c r="G9" s="27">
        <v>90</v>
      </c>
    </row>
    <row r="10" spans="1:7" s="26" customFormat="1" ht="13.5" x14ac:dyDescent="0.25">
      <c r="A10" s="25"/>
      <c r="B10" s="25"/>
      <c r="C10" s="25" t="s">
        <v>120</v>
      </c>
      <c r="D10" s="25" t="s">
        <v>124</v>
      </c>
      <c r="E10" s="27"/>
      <c r="F10" s="27"/>
      <c r="G10" s="27">
        <v>115</v>
      </c>
    </row>
    <row r="11" spans="1:7" s="26" customFormat="1" ht="13.5" x14ac:dyDescent="0.25">
      <c r="A11" s="25"/>
      <c r="B11" s="25"/>
      <c r="C11" s="25" t="s">
        <v>120</v>
      </c>
      <c r="D11" s="25" t="s">
        <v>125</v>
      </c>
      <c r="E11" s="27"/>
      <c r="F11" s="27"/>
      <c r="G11" s="27">
        <v>48</v>
      </c>
    </row>
    <row r="12" spans="1:7" s="26" customFormat="1" ht="13.5" x14ac:dyDescent="0.25">
      <c r="A12" s="25"/>
      <c r="B12" s="25"/>
      <c r="C12" s="25"/>
      <c r="D12" s="25" t="s">
        <v>126</v>
      </c>
      <c r="E12" s="27"/>
      <c r="F12" s="27"/>
      <c r="G12" s="27"/>
    </row>
    <row r="13" spans="1:7" s="26" customFormat="1" ht="13.5" x14ac:dyDescent="0.25">
      <c r="A13" s="25"/>
      <c r="B13" s="25"/>
      <c r="C13" s="25"/>
      <c r="D13" s="25" t="s">
        <v>127</v>
      </c>
      <c r="E13" s="27">
        <v>20</v>
      </c>
      <c r="F13" s="27">
        <v>16</v>
      </c>
      <c r="G13" s="27">
        <v>320</v>
      </c>
    </row>
    <row r="14" spans="1:7" s="26" customFormat="1" ht="13.5" x14ac:dyDescent="0.25">
      <c r="A14" s="25"/>
      <c r="B14" s="25"/>
      <c r="C14" s="25"/>
      <c r="D14" s="25" t="s">
        <v>128</v>
      </c>
      <c r="E14" s="27">
        <v>28</v>
      </c>
      <c r="F14" s="27">
        <v>15</v>
      </c>
      <c r="G14" s="27">
        <v>380</v>
      </c>
    </row>
    <row r="15" spans="1:7" s="26" customFormat="1" ht="13.5" x14ac:dyDescent="0.25">
      <c r="A15" s="25"/>
      <c r="B15" s="25"/>
      <c r="C15" s="25"/>
      <c r="D15" s="25" t="s">
        <v>150</v>
      </c>
      <c r="E15" s="27">
        <v>24</v>
      </c>
      <c r="F15" s="27">
        <v>15</v>
      </c>
      <c r="G15" s="27">
        <v>335</v>
      </c>
    </row>
    <row r="16" spans="1:7" s="26" customFormat="1" ht="13.5" x14ac:dyDescent="0.25">
      <c r="A16" s="25"/>
      <c r="B16" s="25"/>
      <c r="C16" s="25"/>
      <c r="D16" s="25" t="s">
        <v>151</v>
      </c>
      <c r="E16" s="27">
        <v>32</v>
      </c>
      <c r="F16" s="27">
        <v>21</v>
      </c>
      <c r="G16" s="27">
        <v>630</v>
      </c>
    </row>
    <row r="17" spans="1:8" s="26" customFormat="1" ht="13.5" x14ac:dyDescent="0.25">
      <c r="A17" s="25"/>
      <c r="B17" s="25"/>
      <c r="C17" s="25"/>
      <c r="D17" s="25" t="s">
        <v>152</v>
      </c>
      <c r="E17" s="27">
        <v>45</v>
      </c>
      <c r="F17" s="27">
        <v>20</v>
      </c>
      <c r="G17" s="27" t="s">
        <v>598</v>
      </c>
    </row>
    <row r="18" spans="1:8" s="26" customFormat="1" ht="13.5" x14ac:dyDescent="0.25">
      <c r="A18" s="25"/>
      <c r="B18" s="25"/>
      <c r="C18" s="25"/>
      <c r="D18" s="25" t="s">
        <v>258</v>
      </c>
      <c r="E18" s="27"/>
      <c r="F18" s="27">
        <v>22</v>
      </c>
      <c r="G18" s="27">
        <v>22</v>
      </c>
    </row>
    <row r="19" spans="1:8" s="26" customFormat="1" ht="13.5" x14ac:dyDescent="0.25">
      <c r="A19" s="25"/>
      <c r="B19" s="25"/>
      <c r="C19" s="25"/>
      <c r="D19" s="25" t="s">
        <v>259</v>
      </c>
      <c r="E19" s="27"/>
      <c r="F19" s="27">
        <v>40</v>
      </c>
      <c r="G19" s="27">
        <v>40</v>
      </c>
    </row>
    <row r="20" spans="1:8" s="26" customFormat="1" ht="13.5" x14ac:dyDescent="0.25">
      <c r="A20" s="25"/>
      <c r="B20" s="25"/>
      <c r="C20" s="25"/>
      <c r="D20" s="25" t="s">
        <v>290</v>
      </c>
      <c r="E20" s="27"/>
      <c r="F20" s="27">
        <v>12</v>
      </c>
      <c r="G20" s="27"/>
    </row>
    <row r="21" spans="1:8" s="26" customFormat="1" ht="13.5" x14ac:dyDescent="0.25">
      <c r="A21" s="25"/>
      <c r="B21" s="25"/>
      <c r="C21" s="25"/>
      <c r="D21" s="25" t="s">
        <v>597</v>
      </c>
      <c r="E21" s="27"/>
      <c r="F21" s="27"/>
      <c r="G21" s="27">
        <v>280</v>
      </c>
      <c r="H21" s="35"/>
    </row>
    <row r="22" spans="1:8" s="26" customFormat="1" ht="13.5" x14ac:dyDescent="0.25">
      <c r="A22" s="25"/>
      <c r="B22" s="25"/>
      <c r="C22" s="25"/>
      <c r="D22" s="25" t="s">
        <v>304</v>
      </c>
      <c r="E22" s="27"/>
      <c r="F22" s="27"/>
      <c r="G22" s="27">
        <v>300</v>
      </c>
    </row>
    <row r="23" spans="1:8" s="26" customFormat="1" ht="13.5" x14ac:dyDescent="0.25">
      <c r="A23" s="25"/>
      <c r="B23" s="25"/>
      <c r="C23" s="25"/>
      <c r="D23" s="25" t="s">
        <v>565</v>
      </c>
      <c r="E23" s="27"/>
      <c r="F23" s="27"/>
      <c r="G23" s="27">
        <v>90</v>
      </c>
    </row>
    <row r="24" spans="1:8" s="26" customFormat="1" ht="13.5" x14ac:dyDescent="0.25">
      <c r="A24" s="25"/>
      <c r="B24" s="25"/>
      <c r="C24" s="25"/>
      <c r="D24" s="25" t="s">
        <v>370</v>
      </c>
      <c r="E24" s="27"/>
      <c r="F24" s="27"/>
      <c r="G24" s="27">
        <v>45</v>
      </c>
    </row>
    <row r="25" spans="1:8" s="26" customFormat="1" ht="13.5" x14ac:dyDescent="0.25">
      <c r="A25" s="25"/>
      <c r="B25" s="25"/>
      <c r="C25" s="25"/>
      <c r="D25" s="25" t="s">
        <v>371</v>
      </c>
      <c r="E25" s="27"/>
      <c r="F25" s="27"/>
      <c r="G25" s="27">
        <v>45</v>
      </c>
    </row>
    <row r="26" spans="1:8" s="26" customFormat="1" ht="13.5" x14ac:dyDescent="0.25">
      <c r="A26" s="25"/>
      <c r="B26" s="25"/>
      <c r="C26" s="25"/>
      <c r="D26" s="25" t="s">
        <v>375</v>
      </c>
      <c r="E26" s="27"/>
      <c r="F26" s="27"/>
      <c r="G26" s="27">
        <v>28</v>
      </c>
    </row>
    <row r="27" spans="1:8" s="26" customFormat="1" ht="13.5" x14ac:dyDescent="0.25">
      <c r="A27" s="25"/>
      <c r="B27" s="25"/>
      <c r="C27" s="25"/>
      <c r="D27" s="25" t="s">
        <v>565</v>
      </c>
      <c r="E27" s="27"/>
      <c r="F27" s="27"/>
      <c r="G27" s="27">
        <v>35</v>
      </c>
    </row>
    <row r="28" spans="1:8" s="26" customFormat="1" ht="13.5" x14ac:dyDescent="0.25">
      <c r="A28" s="25"/>
      <c r="B28" s="25"/>
      <c r="C28" s="25"/>
      <c r="D28" s="25" t="s">
        <v>376</v>
      </c>
      <c r="E28" s="27"/>
      <c r="F28" s="27">
        <v>15</v>
      </c>
      <c r="G28" s="27">
        <v>115</v>
      </c>
    </row>
    <row r="29" spans="1:8" s="26" customFormat="1" ht="13.5" x14ac:dyDescent="0.25">
      <c r="A29" s="25"/>
      <c r="B29" s="25"/>
      <c r="C29" s="25" t="s">
        <v>120</v>
      </c>
      <c r="D29" s="25" t="s">
        <v>377</v>
      </c>
      <c r="E29" s="27">
        <v>6</v>
      </c>
      <c r="F29" s="27">
        <v>15</v>
      </c>
      <c r="G29" s="27">
        <v>85</v>
      </c>
    </row>
    <row r="30" spans="1:8" s="26" customFormat="1" ht="13.5" x14ac:dyDescent="0.25">
      <c r="A30" s="25"/>
      <c r="B30" s="25"/>
      <c r="C30" s="25" t="s">
        <v>120</v>
      </c>
      <c r="D30" s="25" t="s">
        <v>378</v>
      </c>
      <c r="E30" s="27">
        <v>16</v>
      </c>
      <c r="F30" s="27">
        <v>7</v>
      </c>
      <c r="G30" s="27">
        <v>110</v>
      </c>
    </row>
    <row r="31" spans="1:8" s="26" customFormat="1" ht="13.5" x14ac:dyDescent="0.25">
      <c r="A31" s="25"/>
      <c r="B31" s="25"/>
      <c r="C31" s="25"/>
      <c r="D31" s="25" t="s">
        <v>379</v>
      </c>
      <c r="E31" s="27">
        <v>15</v>
      </c>
      <c r="F31" s="27">
        <v>25</v>
      </c>
      <c r="G31" s="27">
        <v>575</v>
      </c>
    </row>
    <row r="32" spans="1:8" s="26" customFormat="1" ht="13.5" x14ac:dyDescent="0.25">
      <c r="A32" s="25"/>
      <c r="B32" s="25"/>
      <c r="C32" s="25"/>
      <c r="D32" s="25" t="s">
        <v>380</v>
      </c>
      <c r="E32" s="27">
        <v>15</v>
      </c>
      <c r="F32" s="27">
        <v>25</v>
      </c>
      <c r="G32" s="27">
        <v>575</v>
      </c>
    </row>
    <row r="33" spans="1:7" s="26" customFormat="1" ht="13.5" x14ac:dyDescent="0.25">
      <c r="A33" s="25"/>
      <c r="B33" s="25"/>
      <c r="C33" s="25"/>
      <c r="D33" s="25" t="s">
        <v>381</v>
      </c>
      <c r="E33" s="27">
        <v>12</v>
      </c>
      <c r="F33" s="27">
        <v>32</v>
      </c>
      <c r="G33" s="27">
        <v>380</v>
      </c>
    </row>
    <row r="34" spans="1:7" s="26" customFormat="1" ht="13.5" x14ac:dyDescent="0.25">
      <c r="A34" s="25"/>
      <c r="B34" s="25"/>
      <c r="C34" s="25"/>
      <c r="D34" s="25" t="s">
        <v>382</v>
      </c>
      <c r="E34" s="27" t="s">
        <v>454</v>
      </c>
      <c r="F34" s="27">
        <v>32</v>
      </c>
      <c r="G34" s="27">
        <v>380</v>
      </c>
    </row>
    <row r="35" spans="1:7" s="26" customFormat="1" ht="13.5" x14ac:dyDescent="0.25">
      <c r="A35" s="25"/>
      <c r="B35" s="25"/>
      <c r="C35" s="25"/>
      <c r="D35" s="25" t="s">
        <v>383</v>
      </c>
      <c r="E35" s="27"/>
      <c r="F35" s="27">
        <v>25</v>
      </c>
      <c r="G35" s="27">
        <v>575</v>
      </c>
    </row>
    <row r="36" spans="1:7" s="26" customFormat="1" ht="13.5" x14ac:dyDescent="0.25">
      <c r="A36" s="25"/>
      <c r="B36" s="25"/>
      <c r="C36" s="25"/>
      <c r="D36" s="25" t="s">
        <v>384</v>
      </c>
      <c r="E36" s="27"/>
      <c r="F36" s="27">
        <v>15</v>
      </c>
      <c r="G36" s="27">
        <v>180</v>
      </c>
    </row>
    <row r="37" spans="1:7" s="26" customFormat="1" ht="13.5" x14ac:dyDescent="0.25">
      <c r="A37" s="25"/>
      <c r="B37" s="25"/>
      <c r="C37" s="25"/>
      <c r="D37" s="25" t="s">
        <v>385</v>
      </c>
      <c r="E37" s="27"/>
      <c r="F37" s="27">
        <v>15</v>
      </c>
      <c r="G37" s="27">
        <v>180</v>
      </c>
    </row>
    <row r="38" spans="1:7" s="26" customFormat="1" ht="13.5" x14ac:dyDescent="0.25">
      <c r="A38" s="25"/>
      <c r="B38" s="25"/>
      <c r="C38" s="25"/>
      <c r="D38" s="25" t="s">
        <v>386</v>
      </c>
      <c r="E38" s="27">
        <v>24</v>
      </c>
      <c r="F38" s="27">
        <v>13</v>
      </c>
      <c r="G38" s="27">
        <f>+E38*F38</f>
        <v>312</v>
      </c>
    </row>
    <row r="39" spans="1:7" s="26" customFormat="1" ht="13.5" x14ac:dyDescent="0.25">
      <c r="A39" s="25"/>
      <c r="B39" s="25"/>
      <c r="C39" s="25"/>
      <c r="D39" s="25" t="s">
        <v>389</v>
      </c>
      <c r="E39" s="27">
        <v>14</v>
      </c>
      <c r="F39" s="27">
        <v>25</v>
      </c>
      <c r="G39" s="27">
        <v>335</v>
      </c>
    </row>
    <row r="40" spans="1:7" s="26" customFormat="1" ht="13.5" x14ac:dyDescent="0.25">
      <c r="A40" s="25"/>
      <c r="B40" s="25"/>
      <c r="C40" s="25"/>
      <c r="D40" s="25" t="s">
        <v>436</v>
      </c>
      <c r="E40" s="27"/>
      <c r="F40" s="27">
        <v>6</v>
      </c>
      <c r="G40" s="27"/>
    </row>
    <row r="41" spans="1:7" s="26" customFormat="1" ht="13.5" x14ac:dyDescent="0.25">
      <c r="A41" s="25"/>
      <c r="B41" s="25"/>
      <c r="C41" s="25"/>
      <c r="D41" s="25" t="s">
        <v>445</v>
      </c>
      <c r="E41" s="27"/>
      <c r="F41" s="27">
        <v>10</v>
      </c>
      <c r="G41" s="27"/>
    </row>
    <row r="42" spans="1:7" s="26" customFormat="1" ht="13.5" x14ac:dyDescent="0.25">
      <c r="A42" s="25"/>
      <c r="B42" s="25"/>
      <c r="C42" s="25"/>
      <c r="D42" s="25" t="s">
        <v>452</v>
      </c>
      <c r="E42" s="27"/>
      <c r="F42" s="27">
        <v>15</v>
      </c>
      <c r="G42" s="27">
        <v>78</v>
      </c>
    </row>
    <row r="43" spans="1:7" s="26" customFormat="1" ht="13.5" x14ac:dyDescent="0.25">
      <c r="A43" s="25"/>
      <c r="B43" s="25"/>
      <c r="C43" s="25"/>
      <c r="D43" s="25" t="s">
        <v>455</v>
      </c>
      <c r="E43" s="27"/>
      <c r="F43" s="27"/>
      <c r="G43" s="27">
        <v>75</v>
      </c>
    </row>
    <row r="44" spans="1:7" s="26" customFormat="1" ht="13.5" x14ac:dyDescent="0.25">
      <c r="A44" s="25"/>
      <c r="B44" s="25"/>
      <c r="C44" s="25"/>
      <c r="D44" s="25" t="s">
        <v>480</v>
      </c>
      <c r="E44" s="27"/>
      <c r="F44" s="27"/>
      <c r="G44" s="27">
        <v>28</v>
      </c>
    </row>
    <row r="45" spans="1:7" s="26" customFormat="1" ht="13.5" x14ac:dyDescent="0.25">
      <c r="A45" s="25"/>
      <c r="B45" s="25"/>
      <c r="C45" s="25"/>
      <c r="D45" s="25" t="s">
        <v>502</v>
      </c>
      <c r="E45" s="27"/>
      <c r="F45" s="27">
        <v>18</v>
      </c>
      <c r="G45" s="27">
        <v>90</v>
      </c>
    </row>
    <row r="46" spans="1:7" s="26" customFormat="1" ht="13.5" x14ac:dyDescent="0.25">
      <c r="A46" s="25"/>
      <c r="B46" s="25"/>
      <c r="C46" s="25"/>
      <c r="D46" s="25" t="s">
        <v>503</v>
      </c>
      <c r="E46" s="27"/>
      <c r="F46" s="27">
        <v>21</v>
      </c>
      <c r="G46" s="27">
        <v>103</v>
      </c>
    </row>
    <row r="47" spans="1:7" s="26" customFormat="1" ht="13.5" x14ac:dyDescent="0.25">
      <c r="A47" s="25"/>
      <c r="B47" s="25"/>
      <c r="C47" s="25"/>
      <c r="D47" s="25" t="s">
        <v>578</v>
      </c>
      <c r="E47" s="27"/>
      <c r="F47" s="27"/>
      <c r="G47" s="27"/>
    </row>
    <row r="48" spans="1:7" s="26" customFormat="1" ht="13.5" x14ac:dyDescent="0.25">
      <c r="A48" s="25"/>
      <c r="B48" s="25"/>
      <c r="C48" s="25"/>
      <c r="D48" s="25" t="s">
        <v>605</v>
      </c>
      <c r="E48" s="27"/>
      <c r="F48" s="27"/>
      <c r="G48" s="27">
        <v>130</v>
      </c>
    </row>
    <row r="49" spans="1:7" s="26" customFormat="1" ht="13.5" x14ac:dyDescent="0.25">
      <c r="A49" s="25"/>
      <c r="B49" s="25"/>
      <c r="C49" s="25"/>
      <c r="D49" s="25" t="s">
        <v>515</v>
      </c>
      <c r="E49" s="27"/>
      <c r="F49" s="27"/>
      <c r="G49" s="27">
        <v>32</v>
      </c>
    </row>
    <row r="50" spans="1:7" s="26" customFormat="1" ht="13.5" x14ac:dyDescent="0.25">
      <c r="A50" s="25"/>
      <c r="B50" s="25"/>
      <c r="C50" s="25"/>
      <c r="D50" s="25" t="s">
        <v>516</v>
      </c>
      <c r="E50" s="27"/>
      <c r="F50" s="27"/>
      <c r="G50" s="27">
        <v>45</v>
      </c>
    </row>
    <row r="51" spans="1:7" s="26" customFormat="1" ht="13.5" x14ac:dyDescent="0.25">
      <c r="A51" s="25"/>
      <c r="B51" s="25"/>
      <c r="C51" s="25"/>
      <c r="D51" s="25" t="s">
        <v>527</v>
      </c>
      <c r="E51" s="27"/>
      <c r="F51" s="27">
        <v>25</v>
      </c>
      <c r="G51" s="27">
        <v>330</v>
      </c>
    </row>
    <row r="52" spans="1:7" s="26" customFormat="1" ht="13.5" x14ac:dyDescent="0.25">
      <c r="A52" s="25"/>
      <c r="B52" s="25"/>
      <c r="C52" s="25"/>
      <c r="D52" s="25" t="s">
        <v>515</v>
      </c>
      <c r="E52" s="27"/>
      <c r="F52" s="27"/>
      <c r="G52" s="27">
        <v>28</v>
      </c>
    </row>
    <row r="53" spans="1:7" s="26" customFormat="1" ht="13.5" x14ac:dyDescent="0.25">
      <c r="A53" s="25"/>
      <c r="B53" s="25"/>
      <c r="C53" s="25"/>
      <c r="D53" s="25" t="s">
        <v>561</v>
      </c>
      <c r="E53" s="27"/>
      <c r="F53" s="27">
        <v>10</v>
      </c>
      <c r="G53" s="27"/>
    </row>
    <row r="54" spans="1:7" s="26" customFormat="1" ht="13.5" x14ac:dyDescent="0.25">
      <c r="A54" s="25"/>
      <c r="B54" s="25"/>
      <c r="C54" s="25"/>
      <c r="D54" s="25" t="s">
        <v>565</v>
      </c>
      <c r="E54" s="27"/>
      <c r="F54" s="27"/>
      <c r="G54" s="27">
        <v>95</v>
      </c>
    </row>
    <row r="55" spans="1:7" s="26" customFormat="1" ht="13.5" x14ac:dyDescent="0.25">
      <c r="A55" s="25"/>
      <c r="B55" s="25"/>
      <c r="C55" s="25"/>
      <c r="D55" s="25" t="s">
        <v>610</v>
      </c>
      <c r="E55" s="27"/>
      <c r="F55" s="27">
        <v>15</v>
      </c>
      <c r="G55" s="27">
        <v>60</v>
      </c>
    </row>
    <row r="56" spans="1:7" s="26" customFormat="1" ht="13.5" x14ac:dyDescent="0.25">
      <c r="A56" s="25"/>
      <c r="B56" s="25"/>
      <c r="C56" s="25"/>
      <c r="D56" s="25" t="s">
        <v>614</v>
      </c>
      <c r="E56" s="27">
        <v>50</v>
      </c>
      <c r="F56" s="27">
        <v>75</v>
      </c>
      <c r="G56" s="27">
        <v>295</v>
      </c>
    </row>
    <row r="57" spans="1:7" s="26" customFormat="1" ht="13.5" x14ac:dyDescent="0.25">
      <c r="A57" s="25"/>
      <c r="B57" s="25"/>
      <c r="C57" s="25"/>
      <c r="D57" s="25" t="s">
        <v>616</v>
      </c>
      <c r="E57" s="27"/>
      <c r="F57" s="27">
        <v>75</v>
      </c>
      <c r="G57" s="27"/>
    </row>
    <row r="58" spans="1:7" s="26" customFormat="1" ht="13.5" x14ac:dyDescent="0.25">
      <c r="A58" s="25"/>
      <c r="B58" s="25"/>
      <c r="C58" s="25"/>
      <c r="D58" s="25"/>
      <c r="E58" s="27"/>
      <c r="F58" s="27"/>
      <c r="G58" s="27"/>
    </row>
    <row r="59" spans="1:7" s="26" customFormat="1" ht="13.5" x14ac:dyDescent="0.25">
      <c r="A59" s="25"/>
      <c r="B59" s="25"/>
      <c r="C59" s="25"/>
      <c r="D59" s="25"/>
      <c r="E59" s="27"/>
      <c r="F59" s="27"/>
      <c r="G59" s="27"/>
    </row>
    <row r="60" spans="1:7" s="26" customFormat="1" ht="13.5" x14ac:dyDescent="0.25">
      <c r="A60" s="25"/>
      <c r="B60" s="25"/>
      <c r="C60" s="25"/>
      <c r="D60" s="25"/>
      <c r="E60" s="27"/>
      <c r="F60" s="27"/>
      <c r="G60" s="27"/>
    </row>
    <row r="61" spans="1:7" s="26" customFormat="1" ht="13.5" x14ac:dyDescent="0.25">
      <c r="A61" s="25"/>
      <c r="B61" s="25"/>
      <c r="C61" s="25"/>
      <c r="D61" s="25"/>
      <c r="E61" s="27"/>
      <c r="F61" s="27"/>
      <c r="G61" s="27"/>
    </row>
    <row r="62" spans="1:7" s="26" customFormat="1" ht="13.5" x14ac:dyDescent="0.25">
      <c r="A62" s="25"/>
      <c r="B62" s="25"/>
      <c r="C62" s="25"/>
      <c r="D62" s="25"/>
      <c r="E62" s="27"/>
      <c r="F62" s="27"/>
      <c r="G62" s="27"/>
    </row>
    <row r="63" spans="1:7" s="26" customFormat="1" ht="13.5" x14ac:dyDescent="0.25">
      <c r="A63" s="25"/>
      <c r="B63" s="25"/>
      <c r="C63" s="25"/>
      <c r="D63" s="25"/>
      <c r="E63" s="27"/>
      <c r="F63" s="27"/>
      <c r="G63" s="27"/>
    </row>
    <row r="64" spans="1:7" s="26" customFormat="1" ht="13.5" x14ac:dyDescent="0.25">
      <c r="A64" s="25"/>
      <c r="B64" s="25"/>
      <c r="C64" s="25"/>
      <c r="D64" s="25"/>
      <c r="E64" s="27"/>
      <c r="F64" s="27"/>
      <c r="G64" s="27"/>
    </row>
    <row r="65" spans="1:7" s="26" customFormat="1" ht="13.5" x14ac:dyDescent="0.25">
      <c r="A65" s="25"/>
      <c r="B65" s="25"/>
      <c r="C65" s="25"/>
      <c r="D65" s="25"/>
      <c r="E65" s="27"/>
      <c r="F65" s="27"/>
      <c r="G65" s="27"/>
    </row>
    <row r="66" spans="1:7" s="26" customFormat="1" ht="13.5" x14ac:dyDescent="0.25">
      <c r="A66" s="25"/>
      <c r="B66" s="25"/>
      <c r="C66" s="25"/>
      <c r="D66" s="25"/>
      <c r="E66" s="27"/>
      <c r="F66" s="27"/>
      <c r="G66" s="27"/>
    </row>
    <row r="67" spans="1:7" s="26" customFormat="1" ht="13.5" x14ac:dyDescent="0.25">
      <c r="A67" s="25"/>
      <c r="B67" s="25"/>
      <c r="C67" s="25"/>
      <c r="D67" s="25"/>
      <c r="E67" s="27"/>
      <c r="F67" s="27"/>
      <c r="G67" s="27"/>
    </row>
    <row r="68" spans="1:7" s="26" customFormat="1" ht="13.5" x14ac:dyDescent="0.25">
      <c r="A68" s="25"/>
      <c r="B68" s="25"/>
      <c r="C68" s="25"/>
      <c r="D68" s="25"/>
      <c r="E68" s="27"/>
      <c r="F68" s="27"/>
      <c r="G68" s="27"/>
    </row>
    <row r="69" spans="1:7" s="26" customFormat="1" ht="13.5" x14ac:dyDescent="0.25">
      <c r="A69" s="25"/>
      <c r="B69" s="25"/>
      <c r="C69" s="25"/>
      <c r="D69" s="25"/>
      <c r="E69" s="27"/>
      <c r="F69" s="27"/>
      <c r="G69" s="27"/>
    </row>
    <row r="70" spans="1:7" s="26" customFormat="1" ht="13.5" x14ac:dyDescent="0.25">
      <c r="A70" s="25"/>
      <c r="B70" s="25"/>
      <c r="C70" s="25"/>
      <c r="D70" s="25"/>
      <c r="E70" s="27"/>
      <c r="F70" s="27"/>
      <c r="G70" s="27"/>
    </row>
    <row r="71" spans="1:7" s="26" customFormat="1" ht="13.5" x14ac:dyDescent="0.25">
      <c r="A71" s="25"/>
      <c r="B71" s="25"/>
      <c r="C71" s="25"/>
      <c r="D71" s="25"/>
      <c r="E71" s="27"/>
      <c r="F71" s="27"/>
      <c r="G71" s="27"/>
    </row>
    <row r="72" spans="1:7" s="26" customFormat="1" ht="13.5" x14ac:dyDescent="0.25">
      <c r="A72" s="25"/>
      <c r="B72" s="25"/>
      <c r="C72" s="25"/>
      <c r="D72" s="25"/>
      <c r="E72" s="27"/>
      <c r="F72" s="27"/>
      <c r="G72" s="27"/>
    </row>
    <row r="73" spans="1:7" s="26" customFormat="1" ht="13.5" x14ac:dyDescent="0.25">
      <c r="A73" s="25"/>
      <c r="B73" s="25"/>
      <c r="C73" s="25"/>
      <c r="D73" s="25"/>
      <c r="E73" s="27"/>
      <c r="F73" s="27"/>
      <c r="G73" s="27"/>
    </row>
    <row r="74" spans="1:7" s="26" customFormat="1" ht="13.5" x14ac:dyDescent="0.25">
      <c r="A74" s="25"/>
      <c r="B74" s="25"/>
      <c r="C74" s="25"/>
      <c r="D74" s="25"/>
      <c r="E74" s="27"/>
      <c r="F74" s="27"/>
      <c r="G74" s="27"/>
    </row>
    <row r="75" spans="1:7" s="26" customFormat="1" ht="13.5" x14ac:dyDescent="0.25">
      <c r="A75" s="25"/>
      <c r="B75" s="25"/>
      <c r="C75" s="25"/>
      <c r="D75" s="25"/>
      <c r="E75" s="27"/>
      <c r="F75" s="27"/>
      <c r="G75" s="27"/>
    </row>
    <row r="76" spans="1:7" s="26" customFormat="1" ht="13.5" x14ac:dyDescent="0.25">
      <c r="A76" s="25"/>
      <c r="B76" s="25"/>
      <c r="C76" s="25"/>
      <c r="D76" s="25"/>
      <c r="E76" s="27"/>
      <c r="F76" s="27"/>
      <c r="G76" s="27"/>
    </row>
    <row r="77" spans="1:7" s="26" customFormat="1" ht="13.5" x14ac:dyDescent="0.25">
      <c r="A77" s="25"/>
      <c r="B77" s="25"/>
      <c r="C77" s="25"/>
      <c r="D77" s="25"/>
      <c r="E77" s="27"/>
      <c r="F77" s="27"/>
      <c r="G77" s="27"/>
    </row>
    <row r="78" spans="1:7" s="26" customFormat="1" ht="13.5" x14ac:dyDescent="0.25">
      <c r="A78" s="25"/>
      <c r="B78" s="25"/>
      <c r="C78" s="25"/>
      <c r="D78" s="25"/>
      <c r="E78" s="27"/>
      <c r="F78" s="27"/>
      <c r="G78" s="27"/>
    </row>
    <row r="79" spans="1:7" s="26" customFormat="1" ht="13.5" x14ac:dyDescent="0.25">
      <c r="A79" s="25"/>
      <c r="B79" s="25"/>
      <c r="C79" s="25"/>
      <c r="D79" s="25"/>
      <c r="E79" s="27"/>
      <c r="F79" s="27"/>
      <c r="G79" s="27"/>
    </row>
    <row r="80" spans="1:7" s="26" customFormat="1" ht="13.5" x14ac:dyDescent="0.25">
      <c r="A80" s="25"/>
      <c r="B80" s="25"/>
      <c r="C80" s="25"/>
      <c r="D80" s="25"/>
      <c r="E80" s="27"/>
      <c r="F80" s="27"/>
      <c r="G80" s="27"/>
    </row>
    <row r="81" spans="1:7" s="26" customFormat="1" ht="13.5" x14ac:dyDescent="0.25">
      <c r="A81" s="25"/>
      <c r="B81" s="25"/>
      <c r="C81" s="25"/>
      <c r="D81" s="25"/>
      <c r="E81" s="27"/>
      <c r="F81" s="27"/>
      <c r="G81" s="27"/>
    </row>
    <row r="82" spans="1:7" s="26" customFormat="1" ht="13.5" x14ac:dyDescent="0.25">
      <c r="A82" s="25"/>
      <c r="B82" s="25"/>
      <c r="C82" s="25"/>
      <c r="D82" s="25"/>
      <c r="E82" s="27"/>
      <c r="F82" s="27"/>
      <c r="G82" s="27"/>
    </row>
    <row r="83" spans="1:7" s="26" customFormat="1" ht="13.5" x14ac:dyDescent="0.25">
      <c r="A83" s="25"/>
      <c r="B83" s="25"/>
      <c r="C83" s="25"/>
      <c r="D83" s="25"/>
      <c r="E83" s="27"/>
      <c r="F83" s="27"/>
      <c r="G83" s="27"/>
    </row>
    <row r="84" spans="1:7" s="26" customFormat="1" ht="13.5" x14ac:dyDescent="0.25">
      <c r="A84" s="25"/>
      <c r="B84" s="25"/>
      <c r="C84" s="25"/>
      <c r="D84" s="25"/>
      <c r="E84" s="27"/>
      <c r="F84" s="27"/>
      <c r="G84" s="27"/>
    </row>
    <row r="85" spans="1:7" s="26" customFormat="1" ht="13.5" x14ac:dyDescent="0.25">
      <c r="A85" s="25"/>
      <c r="B85" s="25"/>
      <c r="C85" s="25"/>
      <c r="D85" s="25"/>
      <c r="E85" s="27"/>
      <c r="F85" s="27"/>
      <c r="G85" s="27"/>
    </row>
    <row r="86" spans="1:7" s="26" customFormat="1" ht="13.5" x14ac:dyDescent="0.25">
      <c r="A86" s="25"/>
      <c r="B86" s="25"/>
      <c r="C86" s="25"/>
      <c r="D86" s="25"/>
      <c r="E86" s="27"/>
      <c r="F86" s="27"/>
      <c r="G86" s="27"/>
    </row>
    <row r="87" spans="1:7" s="26" customFormat="1" ht="13.5" x14ac:dyDescent="0.25">
      <c r="A87" s="25"/>
      <c r="B87" s="25"/>
      <c r="C87" s="25"/>
      <c r="D87" s="25"/>
      <c r="E87" s="27"/>
      <c r="F87" s="27"/>
      <c r="G87" s="27"/>
    </row>
    <row r="88" spans="1:7" s="26" customFormat="1" ht="13.5" x14ac:dyDescent="0.25">
      <c r="A88" s="25"/>
      <c r="B88" s="25"/>
      <c r="C88" s="25"/>
      <c r="D88" s="25"/>
      <c r="E88" s="27"/>
      <c r="F88" s="27"/>
      <c r="G88" s="27"/>
    </row>
    <row r="89" spans="1:7" s="26" customFormat="1" ht="13.5" x14ac:dyDescent="0.25">
      <c r="A89" s="25"/>
      <c r="B89" s="25"/>
      <c r="C89" s="25"/>
      <c r="D89" s="25"/>
      <c r="E89" s="27"/>
      <c r="F89" s="27"/>
      <c r="G89" s="27"/>
    </row>
    <row r="90" spans="1:7" s="26" customFormat="1" ht="13.5" x14ac:dyDescent="0.25">
      <c r="A90" s="25"/>
      <c r="B90" s="25"/>
      <c r="C90" s="25"/>
      <c r="D90" s="25"/>
      <c r="E90" s="27"/>
      <c r="F90" s="27"/>
      <c r="G90" s="27"/>
    </row>
    <row r="91" spans="1:7" s="26" customFormat="1" ht="13.5" x14ac:dyDescent="0.25">
      <c r="A91" s="25"/>
      <c r="B91" s="25"/>
      <c r="C91" s="25"/>
      <c r="D91" s="25"/>
      <c r="E91" s="27"/>
      <c r="F91" s="27"/>
      <c r="G91" s="27"/>
    </row>
    <row r="92" spans="1:7" s="26" customFormat="1" ht="13.5" x14ac:dyDescent="0.25">
      <c r="A92" s="25"/>
      <c r="B92" s="25"/>
      <c r="C92" s="25"/>
      <c r="D92" s="25"/>
      <c r="E92" s="27"/>
      <c r="F92" s="27"/>
      <c r="G92" s="27"/>
    </row>
    <row r="93" spans="1:7" s="26" customFormat="1" ht="13.5" x14ac:dyDescent="0.25">
      <c r="A93" s="25"/>
      <c r="B93" s="25"/>
      <c r="C93" s="25"/>
      <c r="D93" s="25"/>
      <c r="E93" s="27"/>
      <c r="F93" s="27"/>
      <c r="G93" s="27"/>
    </row>
    <row r="94" spans="1:7" s="26" customFormat="1" ht="13.5" x14ac:dyDescent="0.25">
      <c r="A94" s="25"/>
      <c r="B94" s="25"/>
      <c r="C94" s="25"/>
      <c r="D94" s="25"/>
      <c r="E94" s="27"/>
      <c r="F94" s="27"/>
      <c r="G94" s="27"/>
    </row>
    <row r="95" spans="1:7" s="26" customFormat="1" ht="13.5" x14ac:dyDescent="0.25">
      <c r="A95" s="25"/>
      <c r="B95" s="25"/>
      <c r="C95" s="25"/>
      <c r="D95" s="25"/>
      <c r="E95" s="27"/>
      <c r="F95" s="27"/>
      <c r="G95" s="27"/>
    </row>
    <row r="96" spans="1:7" s="26" customFormat="1" ht="13.5" x14ac:dyDescent="0.25">
      <c r="A96" s="25"/>
      <c r="B96" s="25"/>
      <c r="C96" s="25"/>
      <c r="D96" s="25"/>
      <c r="E96" s="27"/>
      <c r="F96" s="27"/>
      <c r="G96" s="27"/>
    </row>
    <row r="97" spans="1:7" s="26" customFormat="1" ht="13.5" x14ac:dyDescent="0.25">
      <c r="A97" s="25"/>
      <c r="B97" s="25"/>
      <c r="C97" s="25"/>
      <c r="D97" s="25"/>
      <c r="E97" s="27"/>
      <c r="F97" s="27"/>
      <c r="G97" s="27"/>
    </row>
    <row r="98" spans="1:7" s="26" customFormat="1" ht="13.5" x14ac:dyDescent="0.25">
      <c r="A98" s="25"/>
      <c r="B98" s="25"/>
      <c r="C98" s="25"/>
      <c r="D98" s="25"/>
      <c r="E98" s="27"/>
      <c r="F98" s="27"/>
      <c r="G98" s="27"/>
    </row>
    <row r="99" spans="1:7" s="26" customFormat="1" ht="13.5" x14ac:dyDescent="0.25">
      <c r="A99" s="25"/>
      <c r="B99" s="25"/>
      <c r="C99" s="25"/>
      <c r="D99" s="25"/>
      <c r="E99" s="27"/>
      <c r="F99" s="27"/>
      <c r="G99" s="27"/>
    </row>
    <row r="100" spans="1:7" s="26" customFormat="1" ht="13.5" x14ac:dyDescent="0.25">
      <c r="A100" s="25"/>
      <c r="B100" s="25"/>
      <c r="C100" s="25"/>
      <c r="D100" s="25"/>
      <c r="E100" s="27"/>
      <c r="F100" s="27"/>
      <c r="G100" s="27"/>
    </row>
    <row r="101" spans="1:7" s="26" customFormat="1" ht="13.5" x14ac:dyDescent="0.25">
      <c r="A101" s="25"/>
      <c r="B101" s="25"/>
      <c r="C101" s="25"/>
      <c r="D101" s="25"/>
      <c r="E101" s="27"/>
      <c r="F101" s="27"/>
      <c r="G101" s="27"/>
    </row>
    <row r="102" spans="1:7" s="26" customFormat="1" ht="13.5" x14ac:dyDescent="0.25">
      <c r="A102" s="25"/>
      <c r="B102" s="25"/>
      <c r="C102" s="25"/>
      <c r="D102" s="25"/>
      <c r="E102" s="27"/>
      <c r="F102" s="27"/>
      <c r="G102" s="27"/>
    </row>
    <row r="103" spans="1:7" s="26" customFormat="1" ht="13.5" x14ac:dyDescent="0.25">
      <c r="A103" s="25"/>
      <c r="B103" s="25"/>
      <c r="C103" s="25"/>
      <c r="D103" s="25"/>
      <c r="E103" s="27"/>
      <c r="F103" s="27"/>
      <c r="G103" s="27"/>
    </row>
    <row r="104" spans="1:7" s="26" customFormat="1" ht="13.5" x14ac:dyDescent="0.25">
      <c r="A104" s="25"/>
      <c r="B104" s="25"/>
      <c r="C104" s="25"/>
      <c r="D104" s="25"/>
      <c r="E104" s="27"/>
      <c r="F104" s="27"/>
      <c r="G104" s="27"/>
    </row>
    <row r="105" spans="1:7" s="26" customFormat="1" ht="13.5" x14ac:dyDescent="0.25">
      <c r="A105" s="25"/>
      <c r="B105" s="25"/>
      <c r="C105" s="25"/>
      <c r="D105" s="25"/>
      <c r="E105" s="27"/>
      <c r="F105" s="27"/>
      <c r="G105" s="27"/>
    </row>
    <row r="106" spans="1:7" s="26" customFormat="1" ht="13.5" x14ac:dyDescent="0.25">
      <c r="A106" s="25"/>
      <c r="B106" s="25"/>
      <c r="C106" s="25"/>
      <c r="D106" s="25"/>
      <c r="E106" s="27"/>
      <c r="F106" s="27"/>
      <c r="G106" s="27"/>
    </row>
    <row r="107" spans="1:7" s="26" customFormat="1" ht="13.5" x14ac:dyDescent="0.25">
      <c r="A107" s="25"/>
      <c r="B107" s="25"/>
      <c r="C107" s="25"/>
      <c r="D107" s="25"/>
      <c r="E107" s="27"/>
      <c r="F107" s="27"/>
      <c r="G107" s="27"/>
    </row>
    <row r="108" spans="1:7" s="26" customFormat="1" ht="13.5" x14ac:dyDescent="0.25">
      <c r="A108" s="25"/>
      <c r="B108" s="25"/>
      <c r="C108" s="25"/>
      <c r="D108" s="25"/>
      <c r="E108" s="27"/>
      <c r="F108" s="27"/>
      <c r="G108" s="27"/>
    </row>
    <row r="109" spans="1:7" s="26" customFormat="1" ht="13.5" x14ac:dyDescent="0.25">
      <c r="A109" s="25"/>
      <c r="B109" s="25"/>
      <c r="C109" s="25"/>
      <c r="D109" s="25"/>
      <c r="E109" s="27"/>
      <c r="F109" s="27"/>
      <c r="G109" s="27"/>
    </row>
    <row r="110" spans="1:7" s="26" customFormat="1" ht="13.5" x14ac:dyDescent="0.25">
      <c r="A110" s="25"/>
      <c r="B110" s="25"/>
      <c r="C110" s="25"/>
      <c r="D110" s="25"/>
      <c r="E110" s="27"/>
      <c r="F110" s="27"/>
      <c r="G110" s="27"/>
    </row>
    <row r="111" spans="1:7" s="26" customFormat="1" ht="13.5" x14ac:dyDescent="0.25">
      <c r="A111" s="25"/>
      <c r="B111" s="25"/>
      <c r="C111" s="25"/>
      <c r="D111" s="25"/>
      <c r="E111" s="27"/>
      <c r="F111" s="27"/>
      <c r="G111" s="27"/>
    </row>
    <row r="112" spans="1:7" s="26" customFormat="1" ht="13.5" x14ac:dyDescent="0.25">
      <c r="A112" s="25"/>
      <c r="B112" s="25"/>
      <c r="C112" s="25"/>
      <c r="D112" s="25"/>
      <c r="E112" s="27"/>
      <c r="F112" s="27"/>
      <c r="G112" s="27"/>
    </row>
    <row r="113" spans="1:7" s="26" customFormat="1" ht="13.5" x14ac:dyDescent="0.25">
      <c r="A113" s="25"/>
      <c r="B113" s="25"/>
      <c r="C113" s="25"/>
      <c r="D113" s="25"/>
      <c r="E113" s="27"/>
      <c r="F113" s="27"/>
      <c r="G113" s="27"/>
    </row>
    <row r="114" spans="1:7" s="26" customFormat="1" ht="13.5" x14ac:dyDescent="0.25">
      <c r="A114" s="25"/>
      <c r="B114" s="25"/>
      <c r="C114" s="25"/>
      <c r="D114" s="25"/>
      <c r="E114" s="27"/>
      <c r="F114" s="27"/>
      <c r="G114" s="27"/>
    </row>
    <row r="115" spans="1:7" s="26" customFormat="1" ht="13.5" x14ac:dyDescent="0.25">
      <c r="A115" s="25"/>
      <c r="B115" s="25"/>
      <c r="C115" s="25"/>
      <c r="D115" s="25"/>
      <c r="E115" s="27"/>
      <c r="F115" s="27"/>
      <c r="G115" s="27"/>
    </row>
    <row r="116" spans="1:7" s="26" customFormat="1" ht="13.5" x14ac:dyDescent="0.25">
      <c r="A116" s="25"/>
      <c r="B116" s="25"/>
      <c r="C116" s="25"/>
      <c r="D116" s="25"/>
      <c r="E116" s="27"/>
      <c r="F116" s="27"/>
      <c r="G116" s="27"/>
    </row>
    <row r="117" spans="1:7" s="26" customFormat="1" ht="13.5" x14ac:dyDescent="0.25">
      <c r="A117" s="25"/>
      <c r="B117" s="25"/>
      <c r="C117" s="25"/>
      <c r="D117" s="25"/>
      <c r="E117" s="27"/>
      <c r="F117" s="27"/>
      <c r="G117" s="27"/>
    </row>
    <row r="118" spans="1:7" s="26" customFormat="1" ht="13.5" x14ac:dyDescent="0.25">
      <c r="A118" s="25"/>
      <c r="B118" s="25"/>
      <c r="C118" s="25"/>
      <c r="D118" s="25"/>
      <c r="E118" s="27"/>
      <c r="F118" s="27"/>
      <c r="G118" s="27"/>
    </row>
    <row r="119" spans="1:7" s="26" customFormat="1" ht="13.5" x14ac:dyDescent="0.25">
      <c r="A119" s="25"/>
      <c r="B119" s="25"/>
      <c r="C119" s="25"/>
      <c r="D119" s="25"/>
      <c r="E119" s="27"/>
      <c r="F119" s="27"/>
      <c r="G119" s="27"/>
    </row>
    <row r="120" spans="1:7" s="26" customFormat="1" ht="13.5" x14ac:dyDescent="0.25">
      <c r="A120" s="25"/>
      <c r="B120" s="25"/>
      <c r="C120" s="25"/>
      <c r="D120" s="25"/>
      <c r="E120" s="27"/>
      <c r="F120" s="27"/>
      <c r="G120" s="27"/>
    </row>
    <row r="121" spans="1:7" s="26" customFormat="1" ht="13.5" x14ac:dyDescent="0.25">
      <c r="A121" s="25"/>
      <c r="B121" s="25"/>
      <c r="C121" s="25"/>
      <c r="D121" s="25"/>
      <c r="E121" s="27"/>
      <c r="F121" s="27"/>
      <c r="G121" s="27"/>
    </row>
    <row r="122" spans="1:7" s="26" customFormat="1" ht="13.5" x14ac:dyDescent="0.25">
      <c r="A122" s="25"/>
      <c r="B122" s="25"/>
      <c r="C122" s="25"/>
      <c r="D122" s="25"/>
      <c r="E122" s="27"/>
      <c r="F122" s="27"/>
      <c r="G122" s="27"/>
    </row>
    <row r="123" spans="1:7" s="26" customFormat="1" ht="13.5" x14ac:dyDescent="0.25">
      <c r="A123" s="25"/>
      <c r="B123" s="25"/>
      <c r="C123" s="25"/>
      <c r="D123" s="25"/>
      <c r="E123" s="27"/>
      <c r="F123" s="27"/>
      <c r="G123" s="27"/>
    </row>
    <row r="124" spans="1:7" s="26" customFormat="1" ht="13.5" x14ac:dyDescent="0.25">
      <c r="A124" s="25"/>
      <c r="B124" s="25"/>
      <c r="C124" s="25"/>
      <c r="D124" s="25"/>
      <c r="E124" s="27"/>
      <c r="F124" s="27"/>
      <c r="G124" s="27"/>
    </row>
    <row r="125" spans="1:7" s="26" customFormat="1" ht="13.5" x14ac:dyDescent="0.25">
      <c r="A125" s="25"/>
      <c r="B125" s="25"/>
      <c r="C125" s="25"/>
      <c r="D125" s="25"/>
      <c r="E125" s="27"/>
      <c r="F125" s="27"/>
      <c r="G125" s="27"/>
    </row>
    <row r="126" spans="1:7" s="26" customFormat="1" ht="13.5" x14ac:dyDescent="0.25">
      <c r="A126" s="25"/>
      <c r="B126" s="25"/>
      <c r="C126" s="25"/>
      <c r="D126" s="25"/>
      <c r="E126" s="27"/>
      <c r="F126" s="27"/>
      <c r="G126" s="27"/>
    </row>
    <row r="127" spans="1:7" s="26" customFormat="1" ht="13.5" x14ac:dyDescent="0.25">
      <c r="A127" s="25"/>
      <c r="B127" s="25"/>
      <c r="C127" s="25"/>
      <c r="D127" s="25"/>
      <c r="E127" s="27"/>
      <c r="F127" s="27"/>
      <c r="G127" s="27"/>
    </row>
    <row r="128" spans="1:7" s="26" customFormat="1" ht="13.5" x14ac:dyDescent="0.25">
      <c r="A128" s="25"/>
      <c r="B128" s="25"/>
      <c r="C128" s="25"/>
      <c r="D128" s="25"/>
      <c r="E128" s="27"/>
      <c r="F128" s="27"/>
      <c r="G128" s="27"/>
    </row>
    <row r="129" spans="1:7" s="26" customFormat="1" ht="13.5" x14ac:dyDescent="0.25">
      <c r="A129" s="25"/>
      <c r="B129" s="25"/>
      <c r="C129" s="25"/>
      <c r="D129" s="25"/>
      <c r="E129" s="27"/>
      <c r="F129" s="27"/>
      <c r="G129" s="27"/>
    </row>
    <row r="130" spans="1:7" s="26" customFormat="1" ht="13.5" x14ac:dyDescent="0.25">
      <c r="A130" s="25"/>
      <c r="B130" s="25"/>
      <c r="C130" s="25"/>
      <c r="D130" s="25"/>
      <c r="E130" s="27"/>
      <c r="F130" s="27"/>
      <c r="G130" s="27"/>
    </row>
    <row r="131" spans="1:7" s="26" customFormat="1" ht="13.5" x14ac:dyDescent="0.25">
      <c r="A131" s="25"/>
      <c r="B131" s="25"/>
      <c r="C131" s="25"/>
      <c r="D131" s="25"/>
      <c r="E131" s="27"/>
      <c r="F131" s="27"/>
      <c r="G131" s="27"/>
    </row>
    <row r="132" spans="1:7" s="26" customFormat="1" ht="13.5" x14ac:dyDescent="0.25">
      <c r="A132" s="25"/>
      <c r="B132" s="25"/>
      <c r="C132" s="25"/>
      <c r="D132" s="25"/>
      <c r="E132" s="27"/>
      <c r="F132" s="27"/>
      <c r="G132" s="27"/>
    </row>
    <row r="133" spans="1:7" s="26" customFormat="1" ht="13.5" x14ac:dyDescent="0.25">
      <c r="A133" s="25"/>
      <c r="B133" s="25"/>
      <c r="C133" s="25"/>
      <c r="D133" s="25"/>
      <c r="E133" s="27"/>
      <c r="F133" s="27"/>
      <c r="G133" s="27"/>
    </row>
    <row r="134" spans="1:7" s="26" customFormat="1" ht="13.5" x14ac:dyDescent="0.25">
      <c r="A134" s="25"/>
      <c r="B134" s="25"/>
      <c r="C134" s="25"/>
      <c r="D134" s="25"/>
      <c r="E134" s="27"/>
      <c r="F134" s="27"/>
      <c r="G134" s="27"/>
    </row>
    <row r="135" spans="1:7" s="26" customFormat="1" ht="13.5" x14ac:dyDescent="0.25">
      <c r="A135" s="25"/>
      <c r="B135" s="25"/>
      <c r="C135" s="25"/>
      <c r="D135" s="25"/>
      <c r="E135" s="27"/>
      <c r="F135" s="27"/>
      <c r="G135" s="27"/>
    </row>
    <row r="136" spans="1:7" s="26" customFormat="1" ht="13.5" x14ac:dyDescent="0.25">
      <c r="A136" s="25"/>
      <c r="B136" s="25"/>
      <c r="C136" s="25"/>
      <c r="D136" s="25"/>
      <c r="E136" s="27"/>
      <c r="F136" s="27"/>
      <c r="G136" s="27"/>
    </row>
    <row r="137" spans="1:7" s="26" customFormat="1" ht="13.5" x14ac:dyDescent="0.25">
      <c r="A137" s="25"/>
      <c r="B137" s="25"/>
      <c r="C137" s="25"/>
      <c r="D137" s="25"/>
      <c r="E137" s="27"/>
      <c r="F137" s="27"/>
      <c r="G137" s="27"/>
    </row>
    <row r="138" spans="1:7" s="26" customFormat="1" ht="13.5" x14ac:dyDescent="0.25">
      <c r="A138" s="25"/>
      <c r="B138" s="25"/>
      <c r="C138" s="25"/>
      <c r="D138" s="25"/>
      <c r="E138" s="27"/>
      <c r="F138" s="27"/>
      <c r="G138" s="27"/>
    </row>
    <row r="139" spans="1:7" s="26" customFormat="1" ht="13.5" x14ac:dyDescent="0.25">
      <c r="A139" s="25"/>
      <c r="B139" s="25"/>
      <c r="C139" s="25"/>
      <c r="D139" s="25"/>
      <c r="E139" s="27"/>
      <c r="F139" s="27"/>
      <c r="G139" s="27"/>
    </row>
    <row r="140" spans="1:7" s="26" customFormat="1" ht="13.5" x14ac:dyDescent="0.25">
      <c r="A140" s="25"/>
      <c r="B140" s="25"/>
      <c r="C140" s="25"/>
      <c r="D140" s="25"/>
      <c r="E140" s="27"/>
      <c r="F140" s="27"/>
      <c r="G140" s="27"/>
    </row>
    <row r="141" spans="1:7" s="26" customFormat="1" ht="13.5" x14ac:dyDescent="0.25">
      <c r="A141" s="25"/>
      <c r="B141" s="25"/>
      <c r="C141" s="25"/>
      <c r="D141" s="25"/>
      <c r="E141" s="27"/>
      <c r="F141" s="27"/>
      <c r="G141" s="27"/>
    </row>
    <row r="142" spans="1:7" s="26" customFormat="1" ht="13.5" x14ac:dyDescent="0.25">
      <c r="A142" s="25"/>
      <c r="B142" s="25"/>
      <c r="C142" s="25"/>
      <c r="D142" s="25"/>
      <c r="E142" s="27"/>
      <c r="F142" s="27"/>
      <c r="G142" s="27"/>
    </row>
    <row r="143" spans="1:7" s="26" customFormat="1" ht="13.5" x14ac:dyDescent="0.25">
      <c r="A143" s="25"/>
      <c r="B143" s="25"/>
      <c r="C143" s="25"/>
      <c r="D143" s="25"/>
      <c r="E143" s="27"/>
      <c r="F143" s="27"/>
      <c r="G143" s="27"/>
    </row>
    <row r="144" spans="1:7" s="26" customFormat="1" ht="13.5" x14ac:dyDescent="0.25">
      <c r="A144" s="25"/>
      <c r="B144" s="25"/>
      <c r="C144" s="25"/>
      <c r="D144" s="25"/>
      <c r="E144" s="27"/>
      <c r="F144" s="27"/>
      <c r="G144" s="27"/>
    </row>
    <row r="145" spans="1:7" s="26" customFormat="1" ht="13.5" x14ac:dyDescent="0.25">
      <c r="A145" s="25"/>
      <c r="B145" s="25"/>
      <c r="C145" s="25"/>
      <c r="D145" s="25"/>
      <c r="E145" s="27"/>
      <c r="F145" s="27"/>
      <c r="G145" s="27"/>
    </row>
    <row r="146" spans="1:7" s="26" customFormat="1" ht="13.5" x14ac:dyDescent="0.25">
      <c r="A146" s="25"/>
      <c r="B146" s="25"/>
      <c r="C146" s="25"/>
      <c r="D146" s="25"/>
      <c r="E146" s="27"/>
      <c r="F146" s="27"/>
      <c r="G146" s="27"/>
    </row>
    <row r="147" spans="1:7" s="26" customFormat="1" ht="13.5" x14ac:dyDescent="0.25">
      <c r="A147" s="25"/>
      <c r="B147" s="25"/>
      <c r="C147" s="25"/>
      <c r="D147" s="25"/>
      <c r="E147" s="27"/>
      <c r="F147" s="27"/>
      <c r="G147" s="27"/>
    </row>
    <row r="148" spans="1:7" s="26" customFormat="1" ht="13.5" x14ac:dyDescent="0.25">
      <c r="A148" s="25"/>
      <c r="B148" s="25"/>
      <c r="C148" s="25"/>
      <c r="D148" s="25"/>
      <c r="E148" s="27"/>
      <c r="F148" s="27"/>
      <c r="G148" s="27"/>
    </row>
    <row r="149" spans="1:7" s="26" customFormat="1" ht="13.5" x14ac:dyDescent="0.25">
      <c r="A149" s="25"/>
      <c r="B149" s="25"/>
      <c r="C149" s="25"/>
      <c r="D149" s="25"/>
      <c r="E149" s="27"/>
      <c r="F149" s="27"/>
      <c r="G149" s="27"/>
    </row>
    <row r="150" spans="1:7" s="26" customFormat="1" ht="13.5" x14ac:dyDescent="0.25">
      <c r="A150" s="25"/>
      <c r="B150" s="25"/>
      <c r="C150" s="25"/>
      <c r="D150" s="25"/>
      <c r="E150" s="27"/>
      <c r="F150" s="27"/>
      <c r="G150" s="27"/>
    </row>
    <row r="151" spans="1:7" s="26" customFormat="1" ht="13.5" x14ac:dyDescent="0.25">
      <c r="A151" s="25"/>
      <c r="B151" s="25"/>
      <c r="C151" s="25"/>
      <c r="D151" s="25"/>
      <c r="E151" s="27"/>
      <c r="F151" s="27"/>
      <c r="G151" s="27"/>
    </row>
    <row r="152" spans="1:7" s="26" customFormat="1" ht="13.5" x14ac:dyDescent="0.25">
      <c r="A152" s="25"/>
      <c r="B152" s="25"/>
      <c r="C152" s="25"/>
      <c r="D152" s="25"/>
      <c r="E152" s="27"/>
      <c r="F152" s="27"/>
      <c r="G152" s="27"/>
    </row>
    <row r="153" spans="1:7" s="26" customFormat="1" ht="13.5" x14ac:dyDescent="0.25">
      <c r="A153" s="25"/>
      <c r="B153" s="25"/>
      <c r="C153" s="25"/>
      <c r="D153" s="25"/>
      <c r="E153" s="27"/>
      <c r="F153" s="27"/>
      <c r="G153" s="27"/>
    </row>
    <row r="154" spans="1:7" s="26" customFormat="1" ht="13.5" x14ac:dyDescent="0.25">
      <c r="A154" s="25"/>
      <c r="B154" s="25"/>
      <c r="C154" s="25"/>
      <c r="D154" s="25"/>
      <c r="E154" s="27"/>
      <c r="F154" s="27"/>
      <c r="G154" s="27"/>
    </row>
    <row r="155" spans="1:7" s="26" customFormat="1" ht="13.5" x14ac:dyDescent="0.25">
      <c r="A155" s="25"/>
      <c r="B155" s="25"/>
      <c r="C155" s="25"/>
      <c r="D155" s="25"/>
      <c r="E155" s="27"/>
      <c r="F155" s="27"/>
      <c r="G155" s="27"/>
    </row>
    <row r="156" spans="1:7" s="26" customFormat="1" ht="13.5" x14ac:dyDescent="0.25">
      <c r="A156" s="25"/>
      <c r="B156" s="25"/>
      <c r="C156" s="25"/>
      <c r="D156" s="25"/>
      <c r="E156" s="27"/>
      <c r="F156" s="27"/>
      <c r="G156" s="27"/>
    </row>
    <row r="157" spans="1:7" s="26" customFormat="1" ht="13.5" x14ac:dyDescent="0.25">
      <c r="A157" s="25"/>
      <c r="B157" s="25"/>
      <c r="C157" s="25"/>
      <c r="D157" s="25"/>
      <c r="E157" s="27"/>
      <c r="F157" s="27"/>
      <c r="G157" s="27"/>
    </row>
    <row r="158" spans="1:7" s="26" customFormat="1" ht="13.5" x14ac:dyDescent="0.25">
      <c r="A158" s="25"/>
      <c r="B158" s="25"/>
      <c r="C158" s="25"/>
      <c r="D158" s="25"/>
      <c r="E158" s="27"/>
      <c r="F158" s="27"/>
      <c r="G158" s="27"/>
    </row>
    <row r="159" spans="1:7" s="26" customFormat="1" ht="13.5" x14ac:dyDescent="0.25">
      <c r="A159" s="25"/>
      <c r="B159" s="25"/>
      <c r="C159" s="25"/>
      <c r="D159" s="25"/>
      <c r="E159" s="27"/>
      <c r="F159" s="27"/>
      <c r="G159" s="27"/>
    </row>
    <row r="160" spans="1:7" s="26" customFormat="1" ht="13.5" x14ac:dyDescent="0.25">
      <c r="A160" s="25"/>
      <c r="B160" s="25"/>
      <c r="C160" s="25"/>
      <c r="D160" s="25"/>
      <c r="E160" s="27"/>
      <c r="F160" s="27"/>
      <c r="G160" s="27"/>
    </row>
    <row r="161" spans="1:7" s="26" customFormat="1" ht="13.5" x14ac:dyDescent="0.25">
      <c r="A161" s="25"/>
      <c r="B161" s="25"/>
      <c r="C161" s="25"/>
      <c r="D161" s="25"/>
      <c r="E161" s="27"/>
      <c r="F161" s="27"/>
      <c r="G161" s="27"/>
    </row>
    <row r="162" spans="1:7" s="26" customFormat="1" ht="13.5" x14ac:dyDescent="0.25">
      <c r="A162" s="25"/>
      <c r="B162" s="25"/>
      <c r="C162" s="25"/>
      <c r="D162" s="25"/>
      <c r="E162" s="27"/>
      <c r="F162" s="27"/>
      <c r="G162" s="27"/>
    </row>
    <row r="163" spans="1:7" s="26" customFormat="1" ht="13.5" x14ac:dyDescent="0.25">
      <c r="A163" s="25"/>
      <c r="B163" s="25"/>
      <c r="C163" s="25"/>
      <c r="D163" s="25"/>
      <c r="E163" s="27"/>
      <c r="F163" s="27"/>
      <c r="G163" s="27"/>
    </row>
    <row r="164" spans="1:7" s="26" customFormat="1" ht="13.5" x14ac:dyDescent="0.25">
      <c r="A164" s="25"/>
      <c r="B164" s="25"/>
      <c r="C164" s="25"/>
      <c r="D164" s="25"/>
      <c r="E164" s="27"/>
      <c r="F164" s="27"/>
      <c r="G164" s="27"/>
    </row>
    <row r="165" spans="1:7" s="26" customFormat="1" ht="13.5" x14ac:dyDescent="0.25">
      <c r="A165" s="25"/>
      <c r="B165" s="25"/>
      <c r="C165" s="25"/>
      <c r="D165" s="25"/>
      <c r="E165" s="27"/>
      <c r="F165" s="27"/>
      <c r="G165" s="27"/>
    </row>
    <row r="166" spans="1:7" s="26" customFormat="1" ht="13.5" x14ac:dyDescent="0.25">
      <c r="A166" s="25"/>
      <c r="B166" s="25"/>
      <c r="C166" s="25"/>
      <c r="D166" s="25"/>
      <c r="E166" s="27"/>
      <c r="F166" s="27"/>
      <c r="G166" s="27"/>
    </row>
    <row r="167" spans="1:7" s="26" customFormat="1" ht="13.5" x14ac:dyDescent="0.25">
      <c r="A167" s="25"/>
      <c r="B167" s="25"/>
      <c r="C167" s="25"/>
      <c r="D167" s="25"/>
      <c r="E167" s="27"/>
      <c r="F167" s="27"/>
      <c r="G167" s="27"/>
    </row>
    <row r="168" spans="1:7" s="26" customFormat="1" ht="13.5" x14ac:dyDescent="0.25">
      <c r="A168" s="25"/>
      <c r="B168" s="25"/>
      <c r="C168" s="25"/>
      <c r="D168" s="25"/>
      <c r="E168" s="27"/>
      <c r="F168" s="27"/>
      <c r="G168" s="27"/>
    </row>
    <row r="169" spans="1:7" s="26" customFormat="1" ht="13.5" x14ac:dyDescent="0.25">
      <c r="A169" s="25"/>
      <c r="B169" s="25"/>
      <c r="C169" s="25"/>
      <c r="D169" s="25"/>
      <c r="E169" s="27"/>
      <c r="F169" s="27"/>
      <c r="G169" s="27"/>
    </row>
    <row r="170" spans="1:7" s="26" customFormat="1" ht="13.5" x14ac:dyDescent="0.25">
      <c r="A170" s="25"/>
      <c r="B170" s="25"/>
      <c r="C170" s="25"/>
      <c r="D170" s="25"/>
      <c r="E170" s="27"/>
      <c r="F170" s="27"/>
      <c r="G170" s="27"/>
    </row>
    <row r="171" spans="1:7" s="26" customFormat="1" ht="13.5" x14ac:dyDescent="0.25">
      <c r="A171" s="25"/>
      <c r="B171" s="25"/>
      <c r="C171" s="25"/>
      <c r="D171" s="25"/>
      <c r="E171" s="27"/>
      <c r="F171" s="27"/>
      <c r="G171" s="27"/>
    </row>
    <row r="172" spans="1:7" s="26" customFormat="1" ht="13.5" x14ac:dyDescent="0.25">
      <c r="A172" s="25"/>
      <c r="B172" s="25"/>
      <c r="C172" s="25"/>
      <c r="D172" s="25"/>
      <c r="E172" s="27"/>
      <c r="F172" s="27"/>
      <c r="G172" s="27"/>
    </row>
    <row r="173" spans="1:7" s="26" customFormat="1" ht="13.5" x14ac:dyDescent="0.25">
      <c r="A173" s="25"/>
      <c r="B173" s="25"/>
      <c r="C173" s="25"/>
      <c r="D173" s="25"/>
      <c r="E173" s="27"/>
      <c r="F173" s="27"/>
      <c r="G173" s="27"/>
    </row>
    <row r="174" spans="1:7" s="26" customFormat="1" ht="13.5" x14ac:dyDescent="0.25">
      <c r="A174" s="25"/>
      <c r="B174" s="25"/>
      <c r="C174" s="25"/>
      <c r="D174" s="25"/>
      <c r="E174" s="27"/>
      <c r="F174" s="27"/>
      <c r="G174" s="27"/>
    </row>
    <row r="175" spans="1:7" s="26" customFormat="1" ht="13.5" x14ac:dyDescent="0.25">
      <c r="A175" s="25"/>
      <c r="B175" s="25"/>
      <c r="C175" s="25"/>
      <c r="D175" s="25"/>
      <c r="E175" s="27"/>
      <c r="F175" s="27"/>
      <c r="G175" s="27"/>
    </row>
    <row r="176" spans="1:7" s="26" customFormat="1" ht="13.5" x14ac:dyDescent="0.25">
      <c r="A176" s="25"/>
      <c r="B176" s="25"/>
      <c r="C176" s="25"/>
      <c r="D176" s="25"/>
      <c r="E176" s="27"/>
      <c r="F176" s="27"/>
      <c r="G176" s="27"/>
    </row>
    <row r="177" spans="1:7" s="26" customFormat="1" ht="13.5" x14ac:dyDescent="0.25">
      <c r="A177" s="25"/>
      <c r="B177" s="25"/>
      <c r="C177" s="25"/>
      <c r="D177" s="25"/>
      <c r="E177" s="27"/>
      <c r="F177" s="27"/>
      <c r="G177" s="27"/>
    </row>
    <row r="178" spans="1:7" s="26" customFormat="1" ht="13.5" x14ac:dyDescent="0.25">
      <c r="A178" s="25"/>
      <c r="B178" s="25"/>
      <c r="C178" s="25"/>
      <c r="D178" s="25"/>
      <c r="E178" s="27"/>
      <c r="F178" s="27"/>
      <c r="G178" s="27"/>
    </row>
    <row r="179" spans="1:7" s="26" customFormat="1" ht="13.5" x14ac:dyDescent="0.25">
      <c r="A179" s="25"/>
      <c r="B179" s="25"/>
      <c r="C179" s="25"/>
      <c r="D179" s="25"/>
      <c r="E179" s="27"/>
      <c r="F179" s="27"/>
      <c r="G179" s="27"/>
    </row>
    <row r="180" spans="1:7" s="26" customFormat="1" ht="13.5" x14ac:dyDescent="0.25">
      <c r="A180" s="25"/>
      <c r="B180" s="25"/>
      <c r="C180" s="25"/>
      <c r="D180" s="25"/>
      <c r="E180" s="27"/>
      <c r="F180" s="27"/>
      <c r="G180" s="27"/>
    </row>
    <row r="181" spans="1:7" s="26" customFormat="1" ht="13.5" x14ac:dyDescent="0.25">
      <c r="A181" s="25"/>
      <c r="B181" s="25"/>
      <c r="C181" s="25"/>
      <c r="D181" s="25"/>
      <c r="E181" s="27"/>
      <c r="F181" s="27"/>
      <c r="G181" s="27"/>
    </row>
    <row r="182" spans="1:7" s="26" customFormat="1" ht="13.5" x14ac:dyDescent="0.25">
      <c r="A182" s="25"/>
      <c r="B182" s="25"/>
      <c r="C182" s="25"/>
      <c r="D182" s="25"/>
      <c r="E182" s="27"/>
      <c r="F182" s="27"/>
      <c r="G182" s="27"/>
    </row>
    <row r="183" spans="1:7" s="26" customFormat="1" ht="13.5" x14ac:dyDescent="0.25">
      <c r="A183" s="25"/>
      <c r="B183" s="25"/>
      <c r="C183" s="25"/>
      <c r="D183" s="25"/>
      <c r="E183" s="27"/>
      <c r="F183" s="27"/>
      <c r="G183" s="27"/>
    </row>
    <row r="184" spans="1:7" s="26" customFormat="1" ht="13.5" x14ac:dyDescent="0.25">
      <c r="A184" s="25"/>
      <c r="B184" s="25"/>
      <c r="C184" s="25"/>
      <c r="D184" s="25"/>
      <c r="E184" s="27"/>
      <c r="F184" s="27"/>
      <c r="G184" s="27"/>
    </row>
    <row r="185" spans="1:7" s="26" customFormat="1" ht="13.5" x14ac:dyDescent="0.25">
      <c r="A185" s="25"/>
      <c r="B185" s="25"/>
      <c r="C185" s="25"/>
      <c r="D185" s="25"/>
      <c r="E185" s="27"/>
      <c r="F185" s="27"/>
      <c r="G185" s="27"/>
    </row>
    <row r="186" spans="1:7" s="26" customFormat="1" ht="13.5" x14ac:dyDescent="0.25">
      <c r="A186" s="25"/>
      <c r="B186" s="25"/>
      <c r="C186" s="25"/>
      <c r="D186" s="25"/>
      <c r="E186" s="27"/>
      <c r="F186" s="27"/>
      <c r="G186" s="27"/>
    </row>
    <row r="187" spans="1:7" s="26" customFormat="1" ht="13.5" x14ac:dyDescent="0.25">
      <c r="A187" s="25"/>
      <c r="B187" s="25"/>
      <c r="C187" s="25"/>
      <c r="D187" s="25"/>
      <c r="E187" s="27"/>
      <c r="F187" s="27"/>
      <c r="G187" s="27"/>
    </row>
    <row r="188" spans="1:7" s="26" customFormat="1" ht="13.5" x14ac:dyDescent="0.25">
      <c r="A188" s="25"/>
      <c r="B188" s="25"/>
      <c r="C188" s="25"/>
      <c r="D188" s="25"/>
      <c r="E188" s="27"/>
      <c r="F188" s="27"/>
      <c r="G188" s="27"/>
    </row>
    <row r="189" spans="1:7" s="26" customFormat="1" ht="13.5" x14ac:dyDescent="0.25">
      <c r="A189" s="25"/>
      <c r="B189" s="25"/>
      <c r="C189" s="25"/>
      <c r="D189" s="25"/>
      <c r="E189" s="27"/>
      <c r="F189" s="27"/>
      <c r="G189" s="27"/>
    </row>
    <row r="190" spans="1:7" s="26" customFormat="1" ht="13.5" x14ac:dyDescent="0.25">
      <c r="A190" s="25"/>
      <c r="B190" s="25"/>
      <c r="C190" s="25"/>
      <c r="D190" s="25"/>
      <c r="E190" s="27"/>
      <c r="F190" s="27"/>
      <c r="G190" s="27"/>
    </row>
    <row r="191" spans="1:7" s="26" customFormat="1" ht="13.5" x14ac:dyDescent="0.25">
      <c r="A191" s="25"/>
      <c r="B191" s="25"/>
      <c r="C191" s="25"/>
      <c r="D191" s="25"/>
      <c r="E191" s="27"/>
      <c r="F191" s="27"/>
      <c r="G191" s="27"/>
    </row>
    <row r="192" spans="1:7" s="26" customFormat="1" ht="13.5" x14ac:dyDescent="0.25">
      <c r="A192" s="25"/>
      <c r="B192" s="25"/>
      <c r="C192" s="25"/>
      <c r="D192" s="25"/>
      <c r="E192" s="27"/>
      <c r="F192" s="27"/>
      <c r="G192" s="27"/>
    </row>
    <row r="193" spans="1:7" s="26" customFormat="1" ht="13.5" x14ac:dyDescent="0.25">
      <c r="A193" s="25"/>
      <c r="B193" s="25"/>
      <c r="C193" s="25"/>
      <c r="D193" s="25"/>
      <c r="E193" s="27"/>
      <c r="F193" s="27"/>
      <c r="G193" s="27"/>
    </row>
    <row r="194" spans="1:7" s="26" customFormat="1" ht="13.5" x14ac:dyDescent="0.25">
      <c r="A194" s="25"/>
      <c r="B194" s="25"/>
      <c r="C194" s="25"/>
      <c r="D194" s="25"/>
      <c r="E194" s="27"/>
      <c r="F194" s="27"/>
      <c r="G194" s="27"/>
    </row>
    <row r="195" spans="1:7" s="26" customFormat="1" ht="13.5" x14ac:dyDescent="0.25">
      <c r="A195" s="25"/>
      <c r="B195" s="25"/>
      <c r="C195" s="25"/>
      <c r="D195" s="25"/>
      <c r="E195" s="27"/>
      <c r="F195" s="27"/>
      <c r="G195" s="27"/>
    </row>
    <row r="196" spans="1:7" s="26" customFormat="1" ht="13.5" x14ac:dyDescent="0.25">
      <c r="A196" s="25"/>
      <c r="B196" s="25"/>
      <c r="C196" s="25"/>
      <c r="D196" s="25"/>
      <c r="E196" s="27"/>
      <c r="F196" s="27"/>
      <c r="G196" s="27"/>
    </row>
    <row r="197" spans="1:7" s="26" customFormat="1" ht="13.5" x14ac:dyDescent="0.25">
      <c r="A197" s="25"/>
      <c r="B197" s="25"/>
      <c r="C197" s="25"/>
      <c r="D197" s="25"/>
      <c r="E197" s="27"/>
      <c r="F197" s="27"/>
      <c r="G197" s="27"/>
    </row>
    <row r="198" spans="1:7" s="26" customFormat="1" ht="13.5" x14ac:dyDescent="0.25">
      <c r="A198" s="25"/>
      <c r="B198" s="25"/>
      <c r="C198" s="25"/>
      <c r="D198" s="25"/>
      <c r="E198" s="27"/>
      <c r="F198" s="27"/>
      <c r="G198" s="27"/>
    </row>
    <row r="199" spans="1:7" s="26" customFormat="1" ht="13.5" x14ac:dyDescent="0.25">
      <c r="A199" s="25"/>
      <c r="B199" s="25"/>
      <c r="C199" s="25"/>
      <c r="D199" s="25"/>
      <c r="E199" s="27"/>
      <c r="F199" s="27"/>
      <c r="G199" s="27"/>
    </row>
    <row r="200" spans="1:7" s="26" customFormat="1" ht="13.5" x14ac:dyDescent="0.25">
      <c r="A200" s="25"/>
      <c r="B200" s="25"/>
      <c r="C200" s="25"/>
      <c r="D200" s="25"/>
      <c r="E200" s="27"/>
      <c r="F200" s="27"/>
      <c r="G200" s="27"/>
    </row>
    <row r="201" spans="1:7" s="26" customFormat="1" ht="13.5" x14ac:dyDescent="0.25">
      <c r="A201" s="25"/>
      <c r="B201" s="25"/>
      <c r="C201" s="25"/>
      <c r="D201" s="25"/>
      <c r="E201" s="27"/>
      <c r="F201" s="27"/>
      <c r="G201" s="27"/>
    </row>
    <row r="202" spans="1:7" s="26" customFormat="1" ht="13.5" x14ac:dyDescent="0.25">
      <c r="A202" s="25"/>
      <c r="B202" s="25"/>
      <c r="C202" s="25"/>
      <c r="D202" s="25"/>
      <c r="E202" s="27"/>
      <c r="F202" s="27"/>
      <c r="G202" s="27"/>
    </row>
    <row r="203" spans="1:7" s="26" customFormat="1" ht="13.5" x14ac:dyDescent="0.25">
      <c r="A203" s="25"/>
      <c r="B203" s="25"/>
      <c r="C203" s="25"/>
      <c r="D203" s="25"/>
      <c r="E203" s="27"/>
      <c r="F203" s="27"/>
      <c r="G203" s="27"/>
    </row>
    <row r="204" spans="1:7" s="26" customFormat="1" ht="13.5" x14ac:dyDescent="0.25">
      <c r="A204" s="25"/>
      <c r="B204" s="25"/>
      <c r="C204" s="25"/>
      <c r="D204" s="25"/>
      <c r="E204" s="27"/>
      <c r="F204" s="27"/>
      <c r="G204" s="27"/>
    </row>
    <row r="205" spans="1:7" s="26" customFormat="1" ht="13.5" x14ac:dyDescent="0.25">
      <c r="A205" s="25"/>
      <c r="B205" s="25"/>
      <c r="C205" s="25"/>
      <c r="D205" s="25"/>
      <c r="E205" s="27"/>
      <c r="F205" s="27"/>
      <c r="G205" s="27"/>
    </row>
    <row r="206" spans="1:7" s="26" customFormat="1" ht="13.5" x14ac:dyDescent="0.25">
      <c r="A206" s="25"/>
      <c r="B206" s="25"/>
      <c r="C206" s="25"/>
      <c r="D206" s="25"/>
      <c r="E206" s="27"/>
      <c r="F206" s="27"/>
      <c r="G206" s="27"/>
    </row>
    <row r="207" spans="1:7" s="26" customFormat="1" ht="13.5" x14ac:dyDescent="0.25">
      <c r="A207" s="25"/>
      <c r="B207" s="25"/>
      <c r="C207" s="25"/>
      <c r="D207" s="25"/>
      <c r="E207" s="27"/>
      <c r="F207" s="27"/>
      <c r="G207" s="27"/>
    </row>
    <row r="208" spans="1:7" s="26" customFormat="1" ht="13.5" x14ac:dyDescent="0.25">
      <c r="A208" s="25"/>
      <c r="B208" s="25"/>
      <c r="C208" s="25"/>
      <c r="D208" s="25"/>
      <c r="E208" s="27"/>
      <c r="F208" s="27"/>
      <c r="G208" s="27"/>
    </row>
    <row r="209" spans="1:7" s="26" customFormat="1" ht="13.5" x14ac:dyDescent="0.25">
      <c r="A209" s="25"/>
      <c r="B209" s="25"/>
      <c r="C209" s="25"/>
      <c r="D209" s="25"/>
      <c r="E209" s="27"/>
      <c r="F209" s="27"/>
      <c r="G209" s="27"/>
    </row>
    <row r="210" spans="1:7" s="26" customFormat="1" ht="13.5" x14ac:dyDescent="0.25">
      <c r="A210" s="25"/>
      <c r="B210" s="25"/>
      <c r="C210" s="25"/>
      <c r="D210" s="25"/>
      <c r="E210" s="27"/>
      <c r="F210" s="27"/>
      <c r="G210" s="27"/>
    </row>
    <row r="211" spans="1:7" s="26" customFormat="1" ht="13.5" x14ac:dyDescent="0.25">
      <c r="A211" s="25"/>
      <c r="B211" s="25"/>
      <c r="C211" s="25"/>
      <c r="D211" s="25"/>
      <c r="E211" s="27"/>
      <c r="F211" s="27"/>
      <c r="G211" s="27"/>
    </row>
    <row r="212" spans="1:7" s="26" customFormat="1" ht="13.5" x14ac:dyDescent="0.25">
      <c r="A212" s="25"/>
      <c r="B212" s="25"/>
      <c r="C212" s="25"/>
      <c r="D212" s="25"/>
      <c r="E212" s="27"/>
      <c r="F212" s="27"/>
      <c r="G212" s="27"/>
    </row>
    <row r="213" spans="1:7" s="26" customFormat="1" ht="13.5" x14ac:dyDescent="0.25">
      <c r="A213" s="25"/>
      <c r="B213" s="25"/>
      <c r="C213" s="25"/>
      <c r="D213" s="25"/>
      <c r="E213" s="27"/>
      <c r="F213" s="27"/>
      <c r="G213" s="27"/>
    </row>
    <row r="214" spans="1:7" s="26" customFormat="1" ht="13.5" x14ac:dyDescent="0.25">
      <c r="A214" s="25"/>
      <c r="B214" s="25"/>
      <c r="C214" s="25"/>
      <c r="D214" s="25"/>
      <c r="E214" s="27"/>
      <c r="F214" s="27"/>
      <c r="G214" s="27"/>
    </row>
    <row r="215" spans="1:7" s="26" customFormat="1" ht="13.5" x14ac:dyDescent="0.25">
      <c r="A215" s="25"/>
      <c r="B215" s="25"/>
      <c r="C215" s="25"/>
      <c r="D215" s="25"/>
      <c r="E215" s="27"/>
      <c r="F215" s="27"/>
      <c r="G215" s="27"/>
    </row>
    <row r="216" spans="1:7" s="26" customFormat="1" ht="13.5" x14ac:dyDescent="0.25">
      <c r="A216" s="25"/>
      <c r="B216" s="25"/>
      <c r="C216" s="25"/>
      <c r="D216" s="25"/>
      <c r="E216" s="27"/>
      <c r="F216" s="27"/>
      <c r="G216" s="27"/>
    </row>
    <row r="217" spans="1:7" s="26" customFormat="1" ht="13.5" x14ac:dyDescent="0.25">
      <c r="A217" s="25"/>
      <c r="B217" s="25"/>
      <c r="C217" s="25"/>
      <c r="D217" s="25"/>
      <c r="E217" s="27"/>
      <c r="F217" s="27"/>
      <c r="G217" s="27"/>
    </row>
    <row r="218" spans="1:7" s="26" customFormat="1" ht="13.5" x14ac:dyDescent="0.25">
      <c r="A218" s="25"/>
      <c r="B218" s="25"/>
      <c r="C218" s="25"/>
      <c r="D218" s="25"/>
      <c r="E218" s="27"/>
      <c r="F218" s="27"/>
      <c r="G218" s="27"/>
    </row>
    <row r="219" spans="1:7" s="26" customFormat="1" ht="13.5" x14ac:dyDescent="0.25">
      <c r="A219" s="25"/>
      <c r="B219" s="25"/>
      <c r="C219" s="25"/>
      <c r="D219" s="25"/>
      <c r="E219" s="27"/>
      <c r="F219" s="27"/>
      <c r="G219" s="27"/>
    </row>
    <row r="220" spans="1:7" s="26" customFormat="1" ht="13.5" x14ac:dyDescent="0.25">
      <c r="A220" s="25"/>
      <c r="B220" s="25"/>
      <c r="C220" s="25"/>
      <c r="D220" s="25"/>
      <c r="E220" s="27"/>
      <c r="F220" s="27"/>
      <c r="G220" s="27"/>
    </row>
    <row r="221" spans="1:7" s="26" customFormat="1" ht="13.5" x14ac:dyDescent="0.25">
      <c r="A221" s="25"/>
      <c r="B221" s="25"/>
      <c r="C221" s="25"/>
      <c r="D221" s="25"/>
      <c r="E221" s="27"/>
      <c r="F221" s="27"/>
      <c r="G221" s="27"/>
    </row>
    <row r="222" spans="1:7" s="26" customFormat="1" ht="13.5" x14ac:dyDescent="0.25">
      <c r="A222" s="25"/>
      <c r="B222" s="25"/>
      <c r="C222" s="25"/>
      <c r="D222" s="25"/>
      <c r="E222" s="27"/>
      <c r="F222" s="27"/>
      <c r="G222" s="27"/>
    </row>
    <row r="223" spans="1:7" s="26" customFormat="1" ht="13.5" x14ac:dyDescent="0.25">
      <c r="A223" s="25"/>
      <c r="B223" s="25"/>
      <c r="C223" s="25"/>
      <c r="D223" s="25"/>
      <c r="E223" s="27"/>
      <c r="F223" s="27"/>
      <c r="G223" s="27"/>
    </row>
    <row r="224" spans="1:7" s="26" customFormat="1" ht="13.5" x14ac:dyDescent="0.25">
      <c r="A224" s="25"/>
      <c r="B224" s="25"/>
      <c r="C224" s="25"/>
      <c r="D224" s="25"/>
      <c r="E224" s="27"/>
      <c r="F224" s="27"/>
      <c r="G224" s="27"/>
    </row>
    <row r="225" spans="1:7" s="26" customFormat="1" ht="13.5" x14ac:dyDescent="0.25">
      <c r="A225" s="25"/>
      <c r="B225" s="25"/>
      <c r="C225" s="25"/>
      <c r="D225" s="25"/>
      <c r="E225" s="27"/>
      <c r="F225" s="27"/>
      <c r="G225" s="27"/>
    </row>
    <row r="226" spans="1:7" s="26" customFormat="1" ht="13.5" x14ac:dyDescent="0.25">
      <c r="A226" s="25"/>
      <c r="B226" s="25"/>
      <c r="C226" s="25"/>
      <c r="D226" s="25"/>
      <c r="E226" s="27"/>
      <c r="F226" s="27"/>
      <c r="G226" s="27"/>
    </row>
    <row r="227" spans="1:7" s="26" customFormat="1" ht="13.5" x14ac:dyDescent="0.25">
      <c r="A227" s="25"/>
      <c r="B227" s="25"/>
      <c r="C227" s="25"/>
      <c r="D227" s="25"/>
      <c r="E227" s="27"/>
      <c r="F227" s="27"/>
      <c r="G227" s="27"/>
    </row>
    <row r="228" spans="1:7" s="26" customFormat="1" ht="13.5" x14ac:dyDescent="0.25">
      <c r="A228" s="25"/>
      <c r="B228" s="25"/>
      <c r="C228" s="25"/>
      <c r="D228" s="25"/>
      <c r="E228" s="27"/>
      <c r="F228" s="27"/>
      <c r="G228" s="27"/>
    </row>
    <row r="229" spans="1:7" s="26" customFormat="1" ht="13.5" x14ac:dyDescent="0.25">
      <c r="A229" s="25"/>
      <c r="B229" s="25"/>
      <c r="C229" s="25"/>
      <c r="D229" s="25"/>
      <c r="E229" s="27"/>
      <c r="F229" s="27"/>
      <c r="G229" s="27"/>
    </row>
    <row r="230" spans="1:7" s="26" customFormat="1" ht="13.5" x14ac:dyDescent="0.25">
      <c r="A230" s="25"/>
      <c r="B230" s="25"/>
      <c r="C230" s="25"/>
      <c r="D230" s="25"/>
      <c r="E230" s="27"/>
      <c r="F230" s="27"/>
      <c r="G230" s="27"/>
    </row>
    <row r="231" spans="1:7" s="26" customFormat="1" ht="13.5" x14ac:dyDescent="0.25">
      <c r="A231" s="25"/>
      <c r="B231" s="25"/>
      <c r="C231" s="25"/>
      <c r="D231" s="25"/>
      <c r="E231" s="27"/>
      <c r="F231" s="27"/>
      <c r="G231" s="27"/>
    </row>
    <row r="232" spans="1:7" s="26" customFormat="1" ht="13.5" x14ac:dyDescent="0.25">
      <c r="A232" s="25"/>
      <c r="B232" s="25"/>
      <c r="C232" s="25"/>
      <c r="D232" s="25"/>
      <c r="E232" s="27"/>
      <c r="F232" s="27"/>
      <c r="G232" s="27"/>
    </row>
    <row r="233" spans="1:7" s="26" customFormat="1" ht="13.5" x14ac:dyDescent="0.25">
      <c r="A233" s="25"/>
      <c r="B233" s="25"/>
      <c r="C233" s="25"/>
      <c r="D233" s="25"/>
      <c r="E233" s="27"/>
      <c r="F233" s="27"/>
      <c r="G233" s="27"/>
    </row>
    <row r="234" spans="1:7" s="26" customFormat="1" ht="13.5" x14ac:dyDescent="0.25">
      <c r="A234" s="25"/>
      <c r="B234" s="25"/>
      <c r="C234" s="25"/>
      <c r="D234" s="25"/>
      <c r="E234" s="27"/>
      <c r="F234" s="27"/>
      <c r="G234" s="27"/>
    </row>
    <row r="235" spans="1:7" s="26" customFormat="1" ht="13.5" x14ac:dyDescent="0.25">
      <c r="A235" s="25"/>
      <c r="B235" s="25"/>
      <c r="C235" s="25"/>
      <c r="D235" s="25"/>
      <c r="E235" s="27"/>
      <c r="F235" s="27"/>
      <c r="G235" s="27"/>
    </row>
    <row r="236" spans="1:7" s="26" customFormat="1" ht="13.5" x14ac:dyDescent="0.25">
      <c r="A236" s="25"/>
      <c r="B236" s="25"/>
      <c r="C236" s="25"/>
      <c r="D236" s="25"/>
      <c r="E236" s="27"/>
      <c r="F236" s="27"/>
      <c r="G236" s="27"/>
    </row>
    <row r="237" spans="1:7" s="26" customFormat="1" ht="13.5" x14ac:dyDescent="0.25">
      <c r="A237" s="25"/>
      <c r="B237" s="25"/>
      <c r="C237" s="25"/>
      <c r="D237" s="25"/>
      <c r="E237" s="27"/>
      <c r="F237" s="27"/>
      <c r="G237" s="27"/>
    </row>
    <row r="238" spans="1:7" s="26" customFormat="1" ht="13.5" x14ac:dyDescent="0.25">
      <c r="A238" s="25"/>
      <c r="B238" s="25"/>
      <c r="C238" s="25"/>
      <c r="D238" s="25"/>
      <c r="E238" s="27"/>
      <c r="F238" s="27"/>
      <c r="G238" s="27"/>
    </row>
    <row r="239" spans="1:7" s="26" customFormat="1" ht="13.5" x14ac:dyDescent="0.25">
      <c r="A239" s="25"/>
      <c r="B239" s="25"/>
      <c r="C239" s="25"/>
      <c r="D239" s="25"/>
      <c r="E239" s="27"/>
      <c r="F239" s="27"/>
      <c r="G239" s="27"/>
    </row>
    <row r="240" spans="1:7" s="26" customFormat="1" ht="13.5" x14ac:dyDescent="0.25">
      <c r="A240" s="25"/>
      <c r="B240" s="25"/>
      <c r="C240" s="25"/>
      <c r="D240" s="25"/>
      <c r="E240" s="27"/>
      <c r="F240" s="27"/>
      <c r="G240" s="27"/>
    </row>
    <row r="241" spans="1:7" s="26" customFormat="1" ht="13.5" x14ac:dyDescent="0.25">
      <c r="A241" s="25"/>
      <c r="B241" s="25"/>
      <c r="C241" s="25"/>
      <c r="D241" s="25"/>
      <c r="E241" s="27"/>
      <c r="F241" s="27"/>
      <c r="G241" s="27"/>
    </row>
    <row r="242" spans="1:7" s="26" customFormat="1" ht="13.5" x14ac:dyDescent="0.25">
      <c r="A242" s="25"/>
      <c r="B242" s="25"/>
      <c r="C242" s="25"/>
      <c r="D242" s="25"/>
      <c r="E242" s="27"/>
      <c r="F242" s="27"/>
      <c r="G242" s="27"/>
    </row>
    <row r="243" spans="1:7" s="26" customFormat="1" ht="13.5" x14ac:dyDescent="0.25">
      <c r="A243" s="25"/>
      <c r="B243" s="25"/>
      <c r="C243" s="25"/>
      <c r="D243" s="25"/>
      <c r="E243" s="27"/>
      <c r="F243" s="27"/>
      <c r="G243" s="27"/>
    </row>
    <row r="244" spans="1:7" s="26" customFormat="1" ht="13.5" x14ac:dyDescent="0.25">
      <c r="A244" s="25"/>
      <c r="B244" s="25"/>
      <c r="C244" s="25"/>
      <c r="D244" s="25"/>
      <c r="E244" s="27"/>
      <c r="F244" s="27"/>
      <c r="G244" s="27"/>
    </row>
    <row r="245" spans="1:7" s="26" customFormat="1" ht="13.5" x14ac:dyDescent="0.25">
      <c r="A245" s="25"/>
      <c r="B245" s="25"/>
      <c r="C245" s="25"/>
      <c r="D245" s="25"/>
      <c r="E245" s="27"/>
      <c r="F245" s="27"/>
      <c r="G245" s="27"/>
    </row>
    <row r="246" spans="1:7" s="26" customFormat="1" ht="13.5" x14ac:dyDescent="0.25">
      <c r="A246" s="25"/>
      <c r="B246" s="25"/>
      <c r="C246" s="25"/>
      <c r="D246" s="25"/>
      <c r="E246" s="27"/>
      <c r="F246" s="27"/>
      <c r="G246" s="27"/>
    </row>
    <row r="247" spans="1:7" s="26" customFormat="1" ht="13.5" x14ac:dyDescent="0.25">
      <c r="A247" s="25"/>
      <c r="B247" s="25"/>
      <c r="C247" s="25"/>
      <c r="D247" s="25"/>
      <c r="E247" s="27"/>
      <c r="F247" s="27"/>
      <c r="G247" s="27"/>
    </row>
    <row r="248" spans="1:7" s="26" customFormat="1" ht="13.5" x14ac:dyDescent="0.25">
      <c r="A248" s="25"/>
      <c r="B248" s="25"/>
      <c r="C248" s="25"/>
      <c r="D248" s="25"/>
      <c r="E248" s="27"/>
      <c r="F248" s="27"/>
      <c r="G248" s="27"/>
    </row>
    <row r="249" spans="1:7" s="26" customFormat="1" ht="13.5" x14ac:dyDescent="0.25">
      <c r="A249" s="25"/>
      <c r="B249" s="25"/>
      <c r="C249" s="25"/>
      <c r="D249" s="25"/>
      <c r="E249" s="27"/>
      <c r="F249" s="27"/>
      <c r="G249" s="27"/>
    </row>
    <row r="250" spans="1:7" s="26" customFormat="1" ht="13.5" x14ac:dyDescent="0.25">
      <c r="A250" s="25"/>
      <c r="B250" s="25"/>
      <c r="C250" s="25"/>
      <c r="D250" s="25"/>
      <c r="E250" s="27"/>
      <c r="F250" s="27"/>
      <c r="G250" s="27"/>
    </row>
    <row r="251" spans="1:7" s="26" customFormat="1" ht="13.5" x14ac:dyDescent="0.25">
      <c r="A251" s="25"/>
      <c r="B251" s="25"/>
      <c r="C251" s="25"/>
      <c r="D251" s="25"/>
      <c r="E251" s="27"/>
      <c r="F251" s="27"/>
      <c r="G251" s="27"/>
    </row>
    <row r="252" spans="1:7" s="26" customFormat="1" ht="13.5" x14ac:dyDescent="0.25">
      <c r="A252" s="25"/>
      <c r="B252" s="25"/>
      <c r="C252" s="25"/>
      <c r="D252" s="25"/>
      <c r="E252" s="27"/>
      <c r="F252" s="27"/>
      <c r="G252" s="27"/>
    </row>
    <row r="253" spans="1:7" s="26" customFormat="1" ht="13.5" x14ac:dyDescent="0.25">
      <c r="A253" s="25"/>
      <c r="B253" s="25"/>
      <c r="C253" s="25"/>
      <c r="D253" s="25"/>
      <c r="E253" s="27"/>
      <c r="F253" s="27"/>
      <c r="G253" s="27"/>
    </row>
    <row r="254" spans="1:7" s="26" customFormat="1" ht="13.5" x14ac:dyDescent="0.25">
      <c r="A254" s="25"/>
      <c r="B254" s="25"/>
      <c r="C254" s="25"/>
      <c r="D254" s="25"/>
      <c r="E254" s="27"/>
      <c r="F254" s="27"/>
      <c r="G254" s="27"/>
    </row>
    <row r="255" spans="1:7" s="26" customFormat="1" ht="13.5" x14ac:dyDescent="0.25">
      <c r="A255" s="25"/>
      <c r="B255" s="25"/>
      <c r="C255" s="25"/>
      <c r="D255" s="25"/>
      <c r="E255" s="27"/>
      <c r="F255" s="27"/>
      <c r="G255" s="27"/>
    </row>
    <row r="256" spans="1:7" s="26" customFormat="1" ht="13.5" x14ac:dyDescent="0.25">
      <c r="A256" s="25"/>
      <c r="B256" s="25"/>
      <c r="C256" s="25"/>
      <c r="D256" s="25"/>
      <c r="E256" s="27"/>
      <c r="F256" s="27"/>
      <c r="G256" s="27"/>
    </row>
    <row r="257" spans="1:7" s="26" customFormat="1" ht="13.5" x14ac:dyDescent="0.25">
      <c r="A257" s="25"/>
      <c r="B257" s="25"/>
      <c r="C257" s="25"/>
      <c r="D257" s="25"/>
      <c r="E257" s="27"/>
      <c r="F257" s="27"/>
      <c r="G257" s="27"/>
    </row>
    <row r="258" spans="1:7" s="26" customFormat="1" ht="13.5" x14ac:dyDescent="0.25">
      <c r="A258" s="25"/>
      <c r="B258" s="25"/>
      <c r="C258" s="25"/>
      <c r="D258" s="25"/>
      <c r="E258" s="27"/>
      <c r="F258" s="27"/>
      <c r="G258" s="27"/>
    </row>
    <row r="259" spans="1:7" s="26" customFormat="1" ht="13.5" x14ac:dyDescent="0.25">
      <c r="A259" s="25"/>
      <c r="B259" s="25"/>
      <c r="C259" s="25"/>
      <c r="D259" s="25"/>
      <c r="E259" s="27"/>
      <c r="F259" s="27"/>
      <c r="G259" s="27"/>
    </row>
    <row r="260" spans="1:7" s="26" customFormat="1" ht="13.5" x14ac:dyDescent="0.25">
      <c r="A260" s="25"/>
      <c r="B260" s="25"/>
      <c r="C260" s="25"/>
      <c r="D260" s="25"/>
      <c r="E260" s="27"/>
      <c r="F260" s="27"/>
      <c r="G260" s="27"/>
    </row>
    <row r="261" spans="1:7" s="26" customFormat="1" ht="13.5" x14ac:dyDescent="0.25">
      <c r="A261" s="25"/>
      <c r="B261" s="25"/>
      <c r="C261" s="25"/>
      <c r="D261" s="25"/>
      <c r="E261" s="27"/>
      <c r="F261" s="27"/>
      <c r="G261" s="27"/>
    </row>
    <row r="262" spans="1:7" s="26" customFormat="1" ht="13.5" x14ac:dyDescent="0.25">
      <c r="A262" s="25"/>
      <c r="B262" s="25"/>
      <c r="C262" s="25"/>
      <c r="D262" s="25"/>
      <c r="E262" s="27"/>
      <c r="F262" s="27"/>
      <c r="G262" s="27"/>
    </row>
    <row r="263" spans="1:7" s="26" customFormat="1" ht="13.5" x14ac:dyDescent="0.25">
      <c r="A263" s="25"/>
      <c r="B263" s="25"/>
      <c r="C263" s="25"/>
      <c r="D263" s="25"/>
      <c r="E263" s="27"/>
      <c r="F263" s="27"/>
      <c r="G263" s="27"/>
    </row>
    <row r="264" spans="1:7" s="26" customFormat="1" ht="13.5" x14ac:dyDescent="0.25">
      <c r="A264" s="25"/>
      <c r="B264" s="25"/>
      <c r="C264" s="25"/>
      <c r="D264" s="25"/>
      <c r="E264" s="27"/>
      <c r="F264" s="27"/>
      <c r="G264" s="27"/>
    </row>
    <row r="265" spans="1:7" s="26" customFormat="1" ht="13.5" x14ac:dyDescent="0.25">
      <c r="A265" s="25"/>
      <c r="B265" s="25"/>
      <c r="C265" s="25"/>
      <c r="D265" s="25"/>
      <c r="E265" s="27"/>
      <c r="F265" s="27"/>
      <c r="G265" s="27"/>
    </row>
    <row r="266" spans="1:7" s="26" customFormat="1" ht="13.5" x14ac:dyDescent="0.25">
      <c r="A266" s="25"/>
      <c r="B266" s="25"/>
      <c r="C266" s="25"/>
      <c r="D266" s="25"/>
      <c r="E266" s="27"/>
      <c r="F266" s="27"/>
      <c r="G266" s="27"/>
    </row>
    <row r="267" spans="1:7" s="26" customFormat="1" ht="13.5" x14ac:dyDescent="0.25">
      <c r="A267" s="25"/>
      <c r="B267" s="25"/>
      <c r="C267" s="25"/>
      <c r="D267" s="25"/>
      <c r="E267" s="27"/>
      <c r="F267" s="27"/>
      <c r="G267" s="27"/>
    </row>
    <row r="268" spans="1:7" s="26" customFormat="1" ht="13.5" x14ac:dyDescent="0.25">
      <c r="A268" s="25"/>
      <c r="B268" s="25"/>
      <c r="C268" s="25"/>
      <c r="D268" s="25"/>
      <c r="E268" s="27"/>
      <c r="F268" s="27"/>
      <c r="G268" s="27"/>
    </row>
    <row r="269" spans="1:7" s="26" customFormat="1" ht="13.5" x14ac:dyDescent="0.25">
      <c r="A269" s="25"/>
      <c r="B269" s="25"/>
      <c r="C269" s="25"/>
      <c r="D269" s="25"/>
      <c r="E269" s="27"/>
      <c r="F269" s="27"/>
      <c r="G269" s="27"/>
    </row>
    <row r="270" spans="1:7" s="26" customFormat="1" ht="13.5" x14ac:dyDescent="0.25">
      <c r="A270" s="25"/>
      <c r="B270" s="25"/>
      <c r="C270" s="25"/>
      <c r="D270" s="25"/>
      <c r="E270" s="27"/>
      <c r="F270" s="27"/>
      <c r="G270" s="27"/>
    </row>
    <row r="271" spans="1:7" s="26" customFormat="1" ht="13.5" x14ac:dyDescent="0.25">
      <c r="A271" s="25"/>
      <c r="B271" s="25"/>
      <c r="C271" s="25"/>
      <c r="D271" s="25"/>
      <c r="E271" s="27"/>
      <c r="F271" s="27"/>
      <c r="G271" s="27"/>
    </row>
    <row r="272" spans="1:7" s="26" customFormat="1" ht="13.5" x14ac:dyDescent="0.25">
      <c r="A272" s="25"/>
      <c r="B272" s="25"/>
      <c r="C272" s="25"/>
      <c r="D272" s="25"/>
      <c r="E272" s="27"/>
      <c r="F272" s="27"/>
      <c r="G272" s="27"/>
    </row>
    <row r="273" spans="1:7" s="26" customFormat="1" ht="13.5" x14ac:dyDescent="0.25">
      <c r="A273" s="25"/>
      <c r="B273" s="25"/>
      <c r="C273" s="25"/>
      <c r="D273" s="25"/>
      <c r="E273" s="27"/>
      <c r="F273" s="27"/>
      <c r="G273" s="27"/>
    </row>
    <row r="274" spans="1:7" s="26" customFormat="1" ht="13.5" x14ac:dyDescent="0.25">
      <c r="A274" s="25"/>
      <c r="B274" s="25"/>
      <c r="C274" s="25"/>
      <c r="D274" s="25"/>
      <c r="E274" s="27"/>
      <c r="F274" s="27"/>
      <c r="G274" s="27"/>
    </row>
  </sheetData>
  <mergeCells count="5">
    <mergeCell ref="A1:F2"/>
    <mergeCell ref="G1:G5"/>
    <mergeCell ref="A3:C3"/>
    <mergeCell ref="A4:C4"/>
    <mergeCell ref="A5:C5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7E0A2-D1C6-4CAA-A75A-F907BBD6F2F2}">
  <sheetPr codeName="Hoja5"/>
  <dimension ref="A1:G36"/>
  <sheetViews>
    <sheetView showGridLines="0" topLeftCell="A2" zoomScale="150" zoomScaleNormal="150" workbookViewId="0">
      <pane xSplit="7" ySplit="5" topLeftCell="H11" activePane="bottomRight" state="frozen"/>
      <selection activeCell="A2" sqref="A2"/>
      <selection pane="topRight" activeCell="H2" sqref="H2"/>
      <selection pane="bottomLeft" activeCell="A7" sqref="A7"/>
      <selection pane="bottomRight" activeCell="G15" sqref="G15"/>
    </sheetView>
  </sheetViews>
  <sheetFormatPr baseColWidth="10" defaultRowHeight="15" x14ac:dyDescent="0.25"/>
  <cols>
    <col min="1" max="1" width="4.28515625" style="6" bestFit="1" customWidth="1"/>
    <col min="2" max="2" width="12" style="6" customWidth="1"/>
    <col min="3" max="3" width="17.140625" style="6" customWidth="1"/>
    <col min="4" max="4" width="25.140625" style="6" bestFit="1" customWidth="1"/>
    <col min="5" max="5" width="15" style="16" customWidth="1"/>
    <col min="6" max="6" width="14.42578125" style="16" customWidth="1"/>
    <col min="7" max="7" width="26" style="16" customWidth="1"/>
  </cols>
  <sheetData>
    <row r="1" spans="1:7" ht="15" customHeight="1" x14ac:dyDescent="0.25">
      <c r="A1" s="36" t="s">
        <v>8</v>
      </c>
      <c r="B1" s="37"/>
      <c r="C1" s="37"/>
      <c r="D1" s="37"/>
      <c r="E1" s="37"/>
      <c r="F1" s="37"/>
      <c r="G1" s="52"/>
    </row>
    <row r="2" spans="1:7" ht="39" customHeight="1" thickBot="1" x14ac:dyDescent="0.3">
      <c r="A2" s="39"/>
      <c r="B2" s="40"/>
      <c r="C2" s="40"/>
      <c r="D2" s="60"/>
      <c r="E2" s="60"/>
      <c r="F2" s="60"/>
      <c r="G2" s="53"/>
    </row>
    <row r="3" spans="1:7" ht="19.5" thickTop="1" thickBot="1" x14ac:dyDescent="0.3">
      <c r="A3" s="63" t="s">
        <v>24</v>
      </c>
      <c r="B3" s="64"/>
      <c r="C3" s="65"/>
      <c r="D3" s="7"/>
      <c r="E3" s="8"/>
      <c r="F3" s="17"/>
      <c r="G3" s="53"/>
    </row>
    <row r="4" spans="1:7" ht="15.75" thickTop="1" x14ac:dyDescent="0.25">
      <c r="A4" s="58"/>
      <c r="B4" s="58"/>
      <c r="C4" s="58"/>
      <c r="D4" s="3"/>
      <c r="E4" s="3"/>
      <c r="F4" s="3"/>
      <c r="G4" s="53"/>
    </row>
    <row r="5" spans="1:7" ht="15.75" thickBot="1" x14ac:dyDescent="0.3">
      <c r="A5" s="59" t="s">
        <v>6</v>
      </c>
      <c r="B5" s="59"/>
      <c r="C5" s="59"/>
      <c r="D5" s="10" t="s">
        <v>35</v>
      </c>
      <c r="E5" s="11" t="s">
        <v>23</v>
      </c>
      <c r="F5" s="14" t="s">
        <v>47</v>
      </c>
      <c r="G5" s="54"/>
    </row>
    <row r="6" spans="1:7" ht="27.75" customHeight="1" thickBot="1" x14ac:dyDescent="0.3">
      <c r="A6" s="12" t="s">
        <v>5</v>
      </c>
      <c r="B6" s="13" t="s">
        <v>0</v>
      </c>
      <c r="C6" s="18" t="s">
        <v>1</v>
      </c>
      <c r="D6" s="18" t="s">
        <v>2</v>
      </c>
      <c r="E6" s="13" t="s">
        <v>14</v>
      </c>
      <c r="F6" s="13" t="s">
        <v>3</v>
      </c>
      <c r="G6" s="15" t="s">
        <v>4</v>
      </c>
    </row>
    <row r="7" spans="1:7" x14ac:dyDescent="0.25">
      <c r="C7" s="19" t="s">
        <v>199</v>
      </c>
      <c r="D7" s="20" t="s">
        <v>200</v>
      </c>
      <c r="E7" s="16">
        <v>60</v>
      </c>
      <c r="F7" s="16">
        <v>45</v>
      </c>
      <c r="G7" s="16" t="s">
        <v>540</v>
      </c>
    </row>
    <row r="8" spans="1:7" x14ac:dyDescent="0.25">
      <c r="C8" s="21" t="s">
        <v>199</v>
      </c>
      <c r="D8" s="21" t="s">
        <v>201</v>
      </c>
      <c r="F8" s="16">
        <v>58</v>
      </c>
      <c r="G8" s="16">
        <v>2900</v>
      </c>
    </row>
    <row r="9" spans="1:7" x14ac:dyDescent="0.25">
      <c r="C9" s="21" t="s">
        <v>199</v>
      </c>
      <c r="D9" s="21" t="s">
        <v>202</v>
      </c>
      <c r="F9" s="16">
        <v>33</v>
      </c>
    </row>
    <row r="10" spans="1:7" x14ac:dyDescent="0.25">
      <c r="C10" s="21" t="s">
        <v>199</v>
      </c>
      <c r="D10" s="21" t="s">
        <v>203</v>
      </c>
      <c r="F10" s="16">
        <v>58</v>
      </c>
    </row>
    <row r="11" spans="1:7" x14ac:dyDescent="0.25">
      <c r="C11" s="21" t="s">
        <v>199</v>
      </c>
      <c r="D11" s="21" t="s">
        <v>204</v>
      </c>
      <c r="F11" s="16">
        <v>95</v>
      </c>
    </row>
    <row r="12" spans="1:7" x14ac:dyDescent="0.25">
      <c r="C12" s="21" t="s">
        <v>199</v>
      </c>
      <c r="D12" s="21" t="s">
        <v>205</v>
      </c>
      <c r="F12" s="16">
        <v>55</v>
      </c>
    </row>
    <row r="13" spans="1:7" x14ac:dyDescent="0.25">
      <c r="C13" s="21" t="s">
        <v>199</v>
      </c>
      <c r="D13" s="21" t="s">
        <v>206</v>
      </c>
      <c r="F13" s="16">
        <v>124</v>
      </c>
    </row>
    <row r="14" spans="1:7" x14ac:dyDescent="0.25">
      <c r="C14" s="21" t="s">
        <v>199</v>
      </c>
      <c r="D14" s="21" t="s">
        <v>207</v>
      </c>
      <c r="F14" s="16">
        <v>68</v>
      </c>
    </row>
    <row r="15" spans="1:7" x14ac:dyDescent="0.25">
      <c r="C15" s="21" t="s">
        <v>199</v>
      </c>
      <c r="D15" s="21" t="s">
        <v>208</v>
      </c>
      <c r="F15" s="16">
        <v>124</v>
      </c>
      <c r="G15" s="16">
        <v>290</v>
      </c>
    </row>
    <row r="16" spans="1:7" x14ac:dyDescent="0.25">
      <c r="C16" s="21"/>
      <c r="D16" s="21" t="s">
        <v>609</v>
      </c>
      <c r="F16" s="16">
        <v>130</v>
      </c>
    </row>
    <row r="17" spans="3:7" x14ac:dyDescent="0.25">
      <c r="C17" s="21" t="s">
        <v>199</v>
      </c>
      <c r="D17" s="21" t="s">
        <v>209</v>
      </c>
      <c r="F17" s="16" t="s">
        <v>496</v>
      </c>
    </row>
    <row r="18" spans="3:7" x14ac:dyDescent="0.25">
      <c r="C18" s="21" t="s">
        <v>199</v>
      </c>
      <c r="D18" s="21" t="s">
        <v>210</v>
      </c>
      <c r="F18" s="16">
        <v>110</v>
      </c>
    </row>
    <row r="19" spans="3:7" x14ac:dyDescent="0.25">
      <c r="C19" s="21" t="s">
        <v>199</v>
      </c>
      <c r="D19" s="21" t="s">
        <v>211</v>
      </c>
      <c r="F19" s="16">
        <v>115</v>
      </c>
    </row>
    <row r="20" spans="3:7" x14ac:dyDescent="0.25">
      <c r="C20" s="21" t="s">
        <v>199</v>
      </c>
      <c r="D20" s="21" t="s">
        <v>212</v>
      </c>
    </row>
    <row r="21" spans="3:7" x14ac:dyDescent="0.25">
      <c r="C21" s="21" t="s">
        <v>199</v>
      </c>
      <c r="D21" s="21" t="s">
        <v>213</v>
      </c>
      <c r="G21" s="16">
        <v>0</v>
      </c>
    </row>
    <row r="22" spans="3:7" x14ac:dyDescent="0.25">
      <c r="C22" s="21" t="s">
        <v>199</v>
      </c>
      <c r="D22" s="21" t="s">
        <v>214</v>
      </c>
      <c r="F22" s="16" t="s">
        <v>288</v>
      </c>
    </row>
    <row r="23" spans="3:7" x14ac:dyDescent="0.25">
      <c r="C23" s="21" t="s">
        <v>199</v>
      </c>
      <c r="D23" s="21" t="s">
        <v>215</v>
      </c>
      <c r="F23" s="16">
        <v>150</v>
      </c>
    </row>
    <row r="24" spans="3:7" x14ac:dyDescent="0.25">
      <c r="C24" s="21" t="s">
        <v>199</v>
      </c>
      <c r="D24" s="21" t="s">
        <v>216</v>
      </c>
      <c r="G24" s="16" t="s">
        <v>453</v>
      </c>
    </row>
    <row r="25" spans="3:7" x14ac:dyDescent="0.25">
      <c r="C25" s="21" t="s">
        <v>199</v>
      </c>
      <c r="D25" s="21" t="s">
        <v>217</v>
      </c>
      <c r="F25" s="16">
        <v>160</v>
      </c>
    </row>
    <row r="26" spans="3:7" x14ac:dyDescent="0.25">
      <c r="C26" s="21" t="s">
        <v>199</v>
      </c>
      <c r="D26" s="21" t="s">
        <v>218</v>
      </c>
      <c r="F26" s="16">
        <v>170</v>
      </c>
    </row>
    <row r="27" spans="3:7" x14ac:dyDescent="0.25">
      <c r="C27" s="21" t="s">
        <v>199</v>
      </c>
      <c r="D27" s="21" t="s">
        <v>219</v>
      </c>
      <c r="F27" s="16">
        <v>170</v>
      </c>
    </row>
    <row r="28" spans="3:7" x14ac:dyDescent="0.25">
      <c r="C28" s="21" t="s">
        <v>199</v>
      </c>
      <c r="D28" s="21" t="s">
        <v>220</v>
      </c>
    </row>
    <row r="29" spans="3:7" x14ac:dyDescent="0.25">
      <c r="C29" s="9"/>
      <c r="D29" s="9" t="s">
        <v>287</v>
      </c>
      <c r="F29" s="16">
        <v>35</v>
      </c>
    </row>
    <row r="30" spans="3:7" x14ac:dyDescent="0.25">
      <c r="D30" s="6" t="s">
        <v>350</v>
      </c>
      <c r="F30" s="16">
        <v>50</v>
      </c>
    </row>
    <row r="31" spans="3:7" x14ac:dyDescent="0.25">
      <c r="D31" s="6" t="s">
        <v>351</v>
      </c>
      <c r="F31" s="16">
        <v>38</v>
      </c>
    </row>
    <row r="32" spans="3:7" x14ac:dyDescent="0.25">
      <c r="D32" s="6" t="s">
        <v>352</v>
      </c>
      <c r="F32" s="16">
        <v>10</v>
      </c>
      <c r="G32" s="16">
        <v>90</v>
      </c>
    </row>
    <row r="33" spans="4:6" x14ac:dyDescent="0.25">
      <c r="D33" s="6" t="s">
        <v>450</v>
      </c>
      <c r="F33" s="16" t="s">
        <v>451</v>
      </c>
    </row>
    <row r="34" spans="4:6" x14ac:dyDescent="0.25">
      <c r="D34" s="6" t="s">
        <v>544</v>
      </c>
      <c r="F34" s="16">
        <v>70</v>
      </c>
    </row>
    <row r="35" spans="4:6" x14ac:dyDescent="0.25">
      <c r="D35" s="6" t="s">
        <v>572</v>
      </c>
      <c r="E35" s="16">
        <v>50</v>
      </c>
    </row>
    <row r="36" spans="4:6" x14ac:dyDescent="0.25">
      <c r="D36" s="6" t="s">
        <v>573</v>
      </c>
      <c r="E36" s="16">
        <v>96</v>
      </c>
    </row>
  </sheetData>
  <mergeCells count="5">
    <mergeCell ref="A1:F2"/>
    <mergeCell ref="G1:G5"/>
    <mergeCell ref="A3:C3"/>
    <mergeCell ref="A4:C4"/>
    <mergeCell ref="A5:C5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22B30F-0CF1-4DE1-BD49-6A7F63D747CB}">
  <sheetPr codeName="Hoja4"/>
  <dimension ref="A1:G125"/>
  <sheetViews>
    <sheetView showGridLines="0" zoomScale="150" zoomScaleNormal="150" workbookViewId="0">
      <pane xSplit="7" ySplit="6" topLeftCell="H7" activePane="bottomRight" state="frozen"/>
      <selection pane="topRight" activeCell="H1" sqref="H1"/>
      <selection pane="bottomLeft" activeCell="A7" sqref="A7"/>
      <selection pane="bottomRight" activeCell="E12" sqref="E12"/>
    </sheetView>
  </sheetViews>
  <sheetFormatPr baseColWidth="10" defaultRowHeight="15" x14ac:dyDescent="0.25"/>
  <cols>
    <col min="1" max="1" width="4.28515625" style="6" bestFit="1" customWidth="1"/>
    <col min="2" max="2" width="12" style="6" customWidth="1"/>
    <col min="3" max="3" width="17.140625" style="6" customWidth="1"/>
    <col min="4" max="4" width="31.7109375" style="6" bestFit="1" customWidth="1"/>
    <col min="5" max="5" width="15" style="16" customWidth="1"/>
    <col min="6" max="6" width="14.42578125" style="16" customWidth="1"/>
    <col min="7" max="7" width="26" style="16" customWidth="1"/>
  </cols>
  <sheetData>
    <row r="1" spans="1:7" ht="15" customHeight="1" x14ac:dyDescent="0.25">
      <c r="A1" s="36" t="s">
        <v>8</v>
      </c>
      <c r="B1" s="37"/>
      <c r="C1" s="37"/>
      <c r="D1" s="37"/>
      <c r="E1" s="37"/>
      <c r="F1" s="37"/>
      <c r="G1" s="52"/>
    </row>
    <row r="2" spans="1:7" ht="39" customHeight="1" thickBot="1" x14ac:dyDescent="0.3">
      <c r="A2" s="39"/>
      <c r="B2" s="40"/>
      <c r="C2" s="40"/>
      <c r="D2" s="60"/>
      <c r="E2" s="60"/>
      <c r="F2" s="60"/>
      <c r="G2" s="53"/>
    </row>
    <row r="3" spans="1:7" ht="19.5" thickTop="1" thickBot="1" x14ac:dyDescent="0.3">
      <c r="A3" s="63" t="s">
        <v>24</v>
      </c>
      <c r="B3" s="64"/>
      <c r="C3" s="65"/>
      <c r="D3" s="7"/>
      <c r="E3" s="8"/>
      <c r="F3" s="17"/>
      <c r="G3" s="53"/>
    </row>
    <row r="4" spans="1:7" ht="15.75" thickTop="1" x14ac:dyDescent="0.25">
      <c r="A4" s="58"/>
      <c r="B4" s="58"/>
      <c r="C4" s="58"/>
      <c r="D4" s="3"/>
      <c r="E4" s="3"/>
      <c r="F4" s="3"/>
      <c r="G4" s="53"/>
    </row>
    <row r="5" spans="1:7" ht="15.75" thickBot="1" x14ac:dyDescent="0.3">
      <c r="A5" s="59" t="s">
        <v>6</v>
      </c>
      <c r="B5" s="59"/>
      <c r="C5" s="59"/>
      <c r="D5" s="10" t="s">
        <v>26</v>
      </c>
      <c r="E5" s="11" t="s">
        <v>23</v>
      </c>
      <c r="F5" s="14" t="s">
        <v>46</v>
      </c>
      <c r="G5" s="54"/>
    </row>
    <row r="6" spans="1:7" ht="27.75" customHeight="1" thickBot="1" x14ac:dyDescent="0.3">
      <c r="A6" s="12" t="s">
        <v>5</v>
      </c>
      <c r="B6" s="13" t="s">
        <v>0</v>
      </c>
      <c r="C6" s="13" t="s">
        <v>1</v>
      </c>
      <c r="D6" s="13" t="s">
        <v>2</v>
      </c>
      <c r="E6" s="13" t="s">
        <v>14</v>
      </c>
      <c r="F6" s="13" t="s">
        <v>3</v>
      </c>
      <c r="G6" s="15" t="s">
        <v>4</v>
      </c>
    </row>
    <row r="7" spans="1:7" s="29" customFormat="1" ht="12.75" x14ac:dyDescent="0.2">
      <c r="A7" s="21"/>
      <c r="B7" s="21"/>
      <c r="C7" s="19" t="s">
        <v>153</v>
      </c>
      <c r="D7" s="32" t="s">
        <v>154</v>
      </c>
      <c r="E7" s="28"/>
      <c r="F7" s="28">
        <v>8</v>
      </c>
      <c r="G7" s="28">
        <v>220</v>
      </c>
    </row>
    <row r="8" spans="1:7" s="29" customFormat="1" ht="12.75" x14ac:dyDescent="0.2">
      <c r="A8" s="21"/>
      <c r="B8" s="21"/>
      <c r="C8" s="21" t="s">
        <v>153</v>
      </c>
      <c r="D8" s="21" t="s">
        <v>155</v>
      </c>
      <c r="E8" s="28"/>
      <c r="F8" s="28">
        <v>8</v>
      </c>
      <c r="G8" s="28">
        <v>230</v>
      </c>
    </row>
    <row r="9" spans="1:7" s="29" customFormat="1" ht="12.75" x14ac:dyDescent="0.2">
      <c r="A9" s="21"/>
      <c r="B9" s="21"/>
      <c r="C9" s="21" t="s">
        <v>153</v>
      </c>
      <c r="D9" s="21" t="s">
        <v>156</v>
      </c>
      <c r="E9" s="28">
        <v>30</v>
      </c>
      <c r="F9" s="28">
        <v>9</v>
      </c>
      <c r="G9" s="28">
        <v>235</v>
      </c>
    </row>
    <row r="10" spans="1:7" s="29" customFormat="1" ht="12.75" x14ac:dyDescent="0.2">
      <c r="A10" s="21"/>
      <c r="B10" s="21"/>
      <c r="C10" s="21" t="s">
        <v>153</v>
      </c>
      <c r="D10" s="21" t="s">
        <v>157</v>
      </c>
      <c r="E10" s="28"/>
      <c r="F10" s="28">
        <v>10</v>
      </c>
      <c r="G10" s="28"/>
    </row>
    <row r="11" spans="1:7" s="29" customFormat="1" ht="12.75" x14ac:dyDescent="0.2">
      <c r="A11" s="21"/>
      <c r="B11" s="21"/>
      <c r="C11" s="21" t="s">
        <v>153</v>
      </c>
      <c r="D11" s="21" t="s">
        <v>158</v>
      </c>
      <c r="E11" s="28"/>
      <c r="F11" s="28">
        <v>14</v>
      </c>
      <c r="G11" s="28">
        <v>260</v>
      </c>
    </row>
    <row r="12" spans="1:7" s="29" customFormat="1" ht="12.75" x14ac:dyDescent="0.2">
      <c r="A12" s="21"/>
      <c r="B12" s="21"/>
      <c r="C12" s="21" t="s">
        <v>153</v>
      </c>
      <c r="D12" s="21" t="s">
        <v>159</v>
      </c>
      <c r="E12" s="28"/>
      <c r="F12" s="28">
        <v>10</v>
      </c>
      <c r="G12" s="28">
        <v>290</v>
      </c>
    </row>
    <row r="13" spans="1:7" s="29" customFormat="1" ht="12.75" x14ac:dyDescent="0.2">
      <c r="A13" s="21"/>
      <c r="B13" s="21"/>
      <c r="C13" s="21" t="s">
        <v>153</v>
      </c>
      <c r="D13" s="21" t="s">
        <v>160</v>
      </c>
      <c r="E13" s="28"/>
      <c r="F13" s="28">
        <v>10</v>
      </c>
      <c r="G13" s="28">
        <v>320</v>
      </c>
    </row>
    <row r="14" spans="1:7" s="29" customFormat="1" ht="12.75" x14ac:dyDescent="0.2">
      <c r="A14" s="21"/>
      <c r="B14" s="21"/>
      <c r="C14" s="21" t="s">
        <v>153</v>
      </c>
      <c r="D14" s="21" t="s">
        <v>161</v>
      </c>
      <c r="E14" s="28"/>
      <c r="F14" s="28">
        <v>30</v>
      </c>
      <c r="G14" s="28">
        <v>28</v>
      </c>
    </row>
    <row r="15" spans="1:7" s="29" customFormat="1" ht="12.75" x14ac:dyDescent="0.2">
      <c r="A15" s="21"/>
      <c r="B15" s="21"/>
      <c r="C15" s="21" t="s">
        <v>275</v>
      </c>
      <c r="D15" s="21" t="s">
        <v>274</v>
      </c>
      <c r="E15" s="28"/>
      <c r="F15" s="28">
        <v>9</v>
      </c>
      <c r="G15" s="28"/>
    </row>
    <row r="16" spans="1:7" s="29" customFormat="1" ht="12.75" x14ac:dyDescent="0.2">
      <c r="A16" s="21"/>
      <c r="B16" s="21"/>
      <c r="C16" s="21" t="s">
        <v>162</v>
      </c>
      <c r="D16" s="21" t="s">
        <v>163</v>
      </c>
      <c r="E16" s="28"/>
      <c r="F16" s="28">
        <v>5</v>
      </c>
      <c r="G16" s="28">
        <v>340</v>
      </c>
    </row>
    <row r="17" spans="1:7" s="29" customFormat="1" ht="12.75" x14ac:dyDescent="0.2">
      <c r="A17" s="21"/>
      <c r="B17" s="21"/>
      <c r="C17" s="21" t="s">
        <v>162</v>
      </c>
      <c r="D17" s="21" t="s">
        <v>164</v>
      </c>
      <c r="E17" s="28"/>
      <c r="F17" s="28">
        <v>5</v>
      </c>
      <c r="G17" s="28">
        <v>340</v>
      </c>
    </row>
    <row r="18" spans="1:7" s="29" customFormat="1" ht="12.75" x14ac:dyDescent="0.2">
      <c r="A18" s="21"/>
      <c r="B18" s="21"/>
      <c r="C18" s="21" t="s">
        <v>162</v>
      </c>
      <c r="D18" s="21" t="s">
        <v>165</v>
      </c>
      <c r="E18" s="28"/>
      <c r="F18" s="28">
        <v>5</v>
      </c>
      <c r="G18" s="28">
        <v>195</v>
      </c>
    </row>
    <row r="19" spans="1:7" s="29" customFormat="1" ht="12.75" x14ac:dyDescent="0.2">
      <c r="A19" s="21"/>
      <c r="B19" s="21"/>
      <c r="C19" s="21" t="s">
        <v>162</v>
      </c>
      <c r="D19" s="21" t="s">
        <v>166</v>
      </c>
      <c r="E19" s="28"/>
      <c r="F19" s="28">
        <v>4</v>
      </c>
      <c r="G19" s="28">
        <v>35</v>
      </c>
    </row>
    <row r="20" spans="1:7" s="29" customFormat="1" ht="12.75" x14ac:dyDescent="0.2">
      <c r="A20" s="21"/>
      <c r="B20" s="21"/>
      <c r="C20" s="21" t="s">
        <v>162</v>
      </c>
      <c r="D20" s="21" t="s">
        <v>167</v>
      </c>
      <c r="E20" s="28"/>
      <c r="F20" s="28">
        <v>8</v>
      </c>
      <c r="G20" s="28">
        <v>260</v>
      </c>
    </row>
    <row r="21" spans="1:7" s="29" customFormat="1" ht="12.75" x14ac:dyDescent="0.2">
      <c r="A21" s="21"/>
      <c r="B21" s="21"/>
      <c r="C21" s="21" t="s">
        <v>162</v>
      </c>
      <c r="D21" s="21" t="s">
        <v>168</v>
      </c>
      <c r="E21" s="28"/>
      <c r="F21" s="28">
        <v>6</v>
      </c>
      <c r="G21" s="28">
        <v>220</v>
      </c>
    </row>
    <row r="22" spans="1:7" s="29" customFormat="1" ht="12.75" x14ac:dyDescent="0.2">
      <c r="A22" s="21"/>
      <c r="B22" s="21"/>
      <c r="C22" s="21" t="s">
        <v>153</v>
      </c>
      <c r="D22" s="21" t="s">
        <v>169</v>
      </c>
      <c r="E22" s="28"/>
      <c r="F22" s="28">
        <v>3</v>
      </c>
      <c r="G22" s="28">
        <v>145</v>
      </c>
    </row>
    <row r="23" spans="1:7" s="29" customFormat="1" ht="12.75" x14ac:dyDescent="0.2">
      <c r="A23" s="21"/>
      <c r="B23" s="21"/>
      <c r="C23" s="21" t="s">
        <v>153</v>
      </c>
      <c r="D23" s="21" t="s">
        <v>170</v>
      </c>
      <c r="E23" s="28"/>
      <c r="F23" s="28">
        <v>5</v>
      </c>
      <c r="G23" s="28">
        <v>185</v>
      </c>
    </row>
    <row r="24" spans="1:7" s="29" customFormat="1" ht="12.75" x14ac:dyDescent="0.2">
      <c r="A24" s="21"/>
      <c r="B24" s="21"/>
      <c r="C24" s="21" t="s">
        <v>153</v>
      </c>
      <c r="D24" s="21" t="s">
        <v>171</v>
      </c>
      <c r="E24" s="28"/>
      <c r="F24" s="28">
        <v>7</v>
      </c>
      <c r="G24" s="28"/>
    </row>
    <row r="25" spans="1:7" s="29" customFormat="1" ht="12.75" x14ac:dyDescent="0.2">
      <c r="A25" s="21"/>
      <c r="B25" s="21"/>
      <c r="C25" s="21" t="s">
        <v>153</v>
      </c>
      <c r="D25" s="21" t="s">
        <v>172</v>
      </c>
      <c r="E25" s="28"/>
      <c r="F25" s="28">
        <v>2</v>
      </c>
      <c r="G25" s="28">
        <v>140</v>
      </c>
    </row>
    <row r="26" spans="1:7" s="29" customFormat="1" ht="12.75" x14ac:dyDescent="0.2">
      <c r="A26" s="21"/>
      <c r="B26" s="21"/>
      <c r="C26" s="21" t="s">
        <v>153</v>
      </c>
      <c r="D26" s="21" t="s">
        <v>173</v>
      </c>
      <c r="E26" s="28"/>
      <c r="F26" s="28">
        <v>1.5</v>
      </c>
      <c r="G26" s="28">
        <v>110</v>
      </c>
    </row>
    <row r="27" spans="1:7" s="29" customFormat="1" ht="12.75" x14ac:dyDescent="0.2">
      <c r="A27" s="21"/>
      <c r="B27" s="21"/>
      <c r="C27" s="21" t="s">
        <v>153</v>
      </c>
      <c r="D27" s="21" t="s">
        <v>174</v>
      </c>
      <c r="E27" s="28"/>
      <c r="F27" s="28">
        <v>1</v>
      </c>
      <c r="G27" s="28">
        <v>80</v>
      </c>
    </row>
    <row r="28" spans="1:7" s="29" customFormat="1" ht="12.75" x14ac:dyDescent="0.2">
      <c r="A28" s="21"/>
      <c r="B28" s="21"/>
      <c r="C28" s="21" t="s">
        <v>153</v>
      </c>
      <c r="D28" s="21" t="s">
        <v>277</v>
      </c>
      <c r="E28" s="28">
        <v>8</v>
      </c>
      <c r="F28" s="28">
        <v>38</v>
      </c>
      <c r="G28" s="28">
        <v>280</v>
      </c>
    </row>
    <row r="29" spans="1:7" s="29" customFormat="1" ht="12.75" x14ac:dyDescent="0.2">
      <c r="A29" s="21"/>
      <c r="B29" s="21"/>
      <c r="C29" s="21" t="s">
        <v>153</v>
      </c>
      <c r="D29" s="21" t="s">
        <v>276</v>
      </c>
      <c r="E29" s="28">
        <v>12</v>
      </c>
      <c r="F29" s="28">
        <v>35</v>
      </c>
      <c r="G29" s="28">
        <v>280</v>
      </c>
    </row>
    <row r="30" spans="1:7" s="29" customFormat="1" ht="12.75" x14ac:dyDescent="0.2">
      <c r="A30" s="21"/>
      <c r="B30" s="21"/>
      <c r="C30" s="21" t="s">
        <v>153</v>
      </c>
      <c r="D30" s="21" t="s">
        <v>175</v>
      </c>
      <c r="E30" s="28">
        <v>12</v>
      </c>
      <c r="F30" s="28">
        <v>22</v>
      </c>
      <c r="G30" s="28">
        <v>245</v>
      </c>
    </row>
    <row r="31" spans="1:7" s="29" customFormat="1" ht="12.75" x14ac:dyDescent="0.2">
      <c r="A31" s="21"/>
      <c r="B31" s="21"/>
      <c r="C31" s="21" t="s">
        <v>153</v>
      </c>
      <c r="D31" s="21" t="s">
        <v>176</v>
      </c>
      <c r="E31" s="28">
        <v>16</v>
      </c>
      <c r="F31" s="28">
        <v>17</v>
      </c>
      <c r="G31" s="28">
        <v>255</v>
      </c>
    </row>
    <row r="32" spans="1:7" s="29" customFormat="1" ht="12.75" x14ac:dyDescent="0.2">
      <c r="A32" s="21"/>
      <c r="B32" s="21"/>
      <c r="C32" s="21" t="s">
        <v>153</v>
      </c>
      <c r="D32" s="21" t="s">
        <v>281</v>
      </c>
      <c r="E32" s="28"/>
      <c r="F32" s="28">
        <v>15</v>
      </c>
      <c r="G32" s="28"/>
    </row>
    <row r="33" spans="1:7" s="29" customFormat="1" ht="12.75" x14ac:dyDescent="0.2">
      <c r="A33" s="21"/>
      <c r="B33" s="21"/>
      <c r="C33" s="21" t="s">
        <v>153</v>
      </c>
      <c r="D33" s="21" t="s">
        <v>177</v>
      </c>
      <c r="E33" s="28"/>
      <c r="F33" s="28">
        <v>1</v>
      </c>
      <c r="G33" s="28">
        <v>75</v>
      </c>
    </row>
    <row r="34" spans="1:7" s="29" customFormat="1" ht="12.75" x14ac:dyDescent="0.2">
      <c r="A34" s="21"/>
      <c r="B34" s="21"/>
      <c r="C34" s="21" t="s">
        <v>153</v>
      </c>
      <c r="D34" s="21" t="s">
        <v>178</v>
      </c>
      <c r="E34" s="28"/>
      <c r="F34" s="28">
        <v>8</v>
      </c>
      <c r="G34" s="28">
        <v>270</v>
      </c>
    </row>
    <row r="35" spans="1:7" s="29" customFormat="1" ht="12.75" x14ac:dyDescent="0.2">
      <c r="A35" s="21"/>
      <c r="B35" s="21"/>
      <c r="C35" s="21" t="s">
        <v>153</v>
      </c>
      <c r="D35" s="21" t="s">
        <v>179</v>
      </c>
      <c r="E35" s="28"/>
      <c r="F35" s="28">
        <v>8</v>
      </c>
      <c r="G35" s="28">
        <v>270</v>
      </c>
    </row>
    <row r="36" spans="1:7" s="29" customFormat="1" ht="12.75" x14ac:dyDescent="0.2">
      <c r="A36" s="21"/>
      <c r="B36" s="21"/>
      <c r="C36" s="21" t="s">
        <v>186</v>
      </c>
      <c r="D36" s="21" t="s">
        <v>278</v>
      </c>
      <c r="E36" s="28">
        <v>10</v>
      </c>
      <c r="F36" s="28">
        <v>10</v>
      </c>
      <c r="G36" s="28">
        <v>90</v>
      </c>
    </row>
    <row r="37" spans="1:7" s="29" customFormat="1" ht="12.75" x14ac:dyDescent="0.2">
      <c r="A37" s="21"/>
      <c r="B37" s="21"/>
      <c r="C37" s="21" t="s">
        <v>186</v>
      </c>
      <c r="D37" s="21" t="s">
        <v>180</v>
      </c>
      <c r="E37" s="28">
        <v>50</v>
      </c>
      <c r="F37" s="28">
        <v>6</v>
      </c>
      <c r="G37" s="28">
        <v>240</v>
      </c>
    </row>
    <row r="38" spans="1:7" s="29" customFormat="1" ht="12.75" x14ac:dyDescent="0.2">
      <c r="A38" s="21"/>
      <c r="B38" s="21"/>
      <c r="C38" s="21" t="s">
        <v>186</v>
      </c>
      <c r="D38" s="21" t="s">
        <v>181</v>
      </c>
      <c r="E38" s="28"/>
      <c r="F38" s="28">
        <v>5</v>
      </c>
      <c r="G38" s="28">
        <v>130</v>
      </c>
    </row>
    <row r="39" spans="1:7" s="29" customFormat="1" ht="12.75" x14ac:dyDescent="0.2">
      <c r="A39" s="21"/>
      <c r="B39" s="21"/>
      <c r="C39" s="21" t="s">
        <v>186</v>
      </c>
      <c r="D39" s="21" t="s">
        <v>279</v>
      </c>
      <c r="E39" s="28">
        <v>50</v>
      </c>
      <c r="F39" s="28">
        <v>2.5</v>
      </c>
      <c r="G39" s="28">
        <v>100</v>
      </c>
    </row>
    <row r="40" spans="1:7" s="29" customFormat="1" ht="12.75" x14ac:dyDescent="0.2">
      <c r="A40" s="21"/>
      <c r="B40" s="21"/>
      <c r="C40" s="21" t="s">
        <v>182</v>
      </c>
      <c r="D40" s="21" t="s">
        <v>183</v>
      </c>
      <c r="E40" s="28"/>
      <c r="F40" s="28">
        <v>75</v>
      </c>
      <c r="G40" s="28"/>
    </row>
    <row r="41" spans="1:7" s="29" customFormat="1" ht="12.75" x14ac:dyDescent="0.2">
      <c r="A41" s="21"/>
      <c r="B41" s="21"/>
      <c r="C41" s="21" t="s">
        <v>184</v>
      </c>
      <c r="D41" s="21" t="s">
        <v>185</v>
      </c>
      <c r="E41" s="28"/>
      <c r="F41" s="28">
        <v>5</v>
      </c>
      <c r="G41" s="28">
        <v>240</v>
      </c>
    </row>
    <row r="42" spans="1:7" s="29" customFormat="1" ht="12.75" x14ac:dyDescent="0.2">
      <c r="A42" s="21"/>
      <c r="B42" s="21"/>
      <c r="C42" s="21" t="s">
        <v>186</v>
      </c>
      <c r="D42" s="21" t="s">
        <v>536</v>
      </c>
      <c r="E42" s="28"/>
      <c r="F42" s="28"/>
      <c r="G42" s="28"/>
    </row>
    <row r="43" spans="1:7" s="29" customFormat="1" ht="12.75" x14ac:dyDescent="0.2">
      <c r="A43" s="21"/>
      <c r="B43" s="21"/>
      <c r="C43" s="21" t="s">
        <v>186</v>
      </c>
      <c r="D43" s="21" t="s">
        <v>187</v>
      </c>
      <c r="E43" s="28"/>
      <c r="F43" s="28">
        <v>2.5</v>
      </c>
      <c r="G43" s="28" t="s">
        <v>280</v>
      </c>
    </row>
    <row r="44" spans="1:7" s="29" customFormat="1" ht="12.75" x14ac:dyDescent="0.2">
      <c r="A44" s="21"/>
      <c r="B44" s="21"/>
      <c r="C44" s="21" t="s">
        <v>186</v>
      </c>
      <c r="D44" s="21" t="s">
        <v>188</v>
      </c>
      <c r="E44" s="28"/>
      <c r="F44" s="28">
        <v>2.5</v>
      </c>
      <c r="G44" s="28" t="s">
        <v>280</v>
      </c>
    </row>
    <row r="45" spans="1:7" s="29" customFormat="1" ht="12.75" x14ac:dyDescent="0.2">
      <c r="A45" s="21"/>
      <c r="B45" s="21"/>
      <c r="C45" s="21" t="s">
        <v>186</v>
      </c>
      <c r="D45" s="21" t="s">
        <v>189</v>
      </c>
      <c r="E45" s="28"/>
      <c r="F45" s="28">
        <v>3</v>
      </c>
      <c r="G45" s="28">
        <v>125</v>
      </c>
    </row>
    <row r="46" spans="1:7" s="29" customFormat="1" ht="12.75" x14ac:dyDescent="0.2">
      <c r="A46" s="21"/>
      <c r="B46" s="21"/>
      <c r="C46" s="21" t="s">
        <v>186</v>
      </c>
      <c r="D46" s="21" t="s">
        <v>190</v>
      </c>
      <c r="E46" s="28"/>
      <c r="F46" s="28">
        <v>4</v>
      </c>
      <c r="G46" s="28">
        <v>155</v>
      </c>
    </row>
    <row r="47" spans="1:7" s="29" customFormat="1" ht="12.75" x14ac:dyDescent="0.2">
      <c r="A47" s="21"/>
      <c r="B47" s="21"/>
      <c r="C47" s="21" t="s">
        <v>186</v>
      </c>
      <c r="D47" s="21" t="s">
        <v>191</v>
      </c>
      <c r="E47" s="28"/>
      <c r="F47" s="28">
        <v>6</v>
      </c>
      <c r="G47" s="28">
        <v>250</v>
      </c>
    </row>
    <row r="48" spans="1:7" s="29" customFormat="1" ht="12.75" x14ac:dyDescent="0.2">
      <c r="A48" s="21"/>
      <c r="B48" s="21"/>
      <c r="C48" s="21" t="s">
        <v>186</v>
      </c>
      <c r="D48" s="21" t="s">
        <v>192</v>
      </c>
      <c r="E48" s="28"/>
      <c r="F48" s="28">
        <v>7</v>
      </c>
      <c r="G48" s="28">
        <v>295</v>
      </c>
    </row>
    <row r="49" spans="1:7" s="29" customFormat="1" ht="12.75" x14ac:dyDescent="0.2">
      <c r="A49" s="21"/>
      <c r="B49" s="21"/>
      <c r="C49" s="21" t="s">
        <v>186</v>
      </c>
      <c r="D49" s="21" t="s">
        <v>193</v>
      </c>
      <c r="E49" s="28"/>
      <c r="F49" s="28">
        <v>15</v>
      </c>
      <c r="G49" s="28">
        <v>560</v>
      </c>
    </row>
    <row r="50" spans="1:7" s="29" customFormat="1" ht="12.75" x14ac:dyDescent="0.2">
      <c r="A50" s="21"/>
      <c r="B50" s="21"/>
      <c r="C50" s="21" t="s">
        <v>186</v>
      </c>
      <c r="D50" s="21" t="s">
        <v>194</v>
      </c>
      <c r="E50" s="28"/>
      <c r="F50" s="28">
        <v>9</v>
      </c>
      <c r="G50" s="28"/>
    </row>
    <row r="51" spans="1:7" s="29" customFormat="1" ht="12.75" x14ac:dyDescent="0.2">
      <c r="A51" s="21"/>
      <c r="B51" s="21"/>
      <c r="C51" s="21" t="s">
        <v>186</v>
      </c>
      <c r="D51" s="21" t="s">
        <v>195</v>
      </c>
      <c r="E51" s="28"/>
      <c r="F51" s="28">
        <v>6</v>
      </c>
      <c r="G51" s="28">
        <v>55</v>
      </c>
    </row>
    <row r="52" spans="1:7" s="29" customFormat="1" ht="12.75" x14ac:dyDescent="0.2">
      <c r="A52" s="21"/>
      <c r="B52" s="21"/>
      <c r="C52" s="21" t="s">
        <v>186</v>
      </c>
      <c r="D52" s="21" t="s">
        <v>196</v>
      </c>
      <c r="E52" s="28"/>
      <c r="F52" s="28">
        <v>10</v>
      </c>
      <c r="G52" s="28">
        <v>90</v>
      </c>
    </row>
    <row r="53" spans="1:7" s="29" customFormat="1" ht="12.75" x14ac:dyDescent="0.2">
      <c r="A53" s="21"/>
      <c r="B53" s="21"/>
      <c r="C53" s="21" t="s">
        <v>186</v>
      </c>
      <c r="D53" s="21" t="s">
        <v>197</v>
      </c>
      <c r="E53" s="28"/>
      <c r="F53" s="28">
        <v>12</v>
      </c>
      <c r="G53" s="28">
        <v>110</v>
      </c>
    </row>
    <row r="54" spans="1:7" s="29" customFormat="1" ht="12.75" x14ac:dyDescent="0.2">
      <c r="A54" s="21"/>
      <c r="B54" s="21"/>
      <c r="C54" s="21" t="s">
        <v>186</v>
      </c>
      <c r="D54" s="21" t="s">
        <v>198</v>
      </c>
      <c r="E54" s="28"/>
      <c r="F54" s="28">
        <v>13</v>
      </c>
      <c r="G54" s="28">
        <v>130</v>
      </c>
    </row>
    <row r="55" spans="1:7" s="29" customFormat="1" ht="12.75" x14ac:dyDescent="0.2">
      <c r="A55" s="21"/>
      <c r="B55" s="21"/>
      <c r="C55" s="31"/>
      <c r="D55" s="31" t="s">
        <v>282</v>
      </c>
      <c r="E55" s="28"/>
      <c r="F55" s="28">
        <v>10</v>
      </c>
      <c r="G55" s="28">
        <v>110</v>
      </c>
    </row>
    <row r="56" spans="1:7" s="29" customFormat="1" ht="12.75" x14ac:dyDescent="0.2">
      <c r="A56" s="21"/>
      <c r="B56" s="21"/>
      <c r="C56" s="21"/>
      <c r="D56" s="21" t="s">
        <v>283</v>
      </c>
      <c r="E56" s="28"/>
      <c r="F56" s="28">
        <v>7</v>
      </c>
      <c r="G56" s="28"/>
    </row>
    <row r="57" spans="1:7" s="29" customFormat="1" ht="12.75" x14ac:dyDescent="0.2">
      <c r="A57" s="21"/>
      <c r="B57" s="21"/>
      <c r="C57" s="21"/>
      <c r="D57" s="21" t="s">
        <v>284</v>
      </c>
      <c r="E57" s="28"/>
      <c r="F57" s="28">
        <v>7</v>
      </c>
      <c r="G57" s="28"/>
    </row>
    <row r="58" spans="1:7" s="29" customFormat="1" ht="12.75" x14ac:dyDescent="0.2">
      <c r="A58" s="21"/>
      <c r="B58" s="21"/>
      <c r="C58" s="21"/>
      <c r="D58" s="21" t="s">
        <v>285</v>
      </c>
      <c r="E58" s="28"/>
      <c r="F58" s="28">
        <v>15</v>
      </c>
      <c r="G58" s="28"/>
    </row>
    <row r="59" spans="1:7" s="29" customFormat="1" ht="12.75" x14ac:dyDescent="0.2">
      <c r="A59" s="21"/>
      <c r="B59" s="21"/>
      <c r="C59" s="21"/>
      <c r="D59" s="21" t="s">
        <v>286</v>
      </c>
      <c r="E59" s="28"/>
      <c r="F59" s="28">
        <v>10</v>
      </c>
      <c r="G59" s="28"/>
    </row>
    <row r="60" spans="1:7" s="29" customFormat="1" ht="12.75" x14ac:dyDescent="0.2">
      <c r="A60" s="21"/>
      <c r="B60" s="21"/>
      <c r="C60" s="21"/>
      <c r="D60" s="21" t="s">
        <v>541</v>
      </c>
      <c r="E60" s="28"/>
      <c r="F60" s="28">
        <v>80</v>
      </c>
      <c r="G60" s="28"/>
    </row>
    <row r="61" spans="1:7" s="29" customFormat="1" ht="12.75" x14ac:dyDescent="0.2">
      <c r="A61" s="21"/>
      <c r="B61" s="21"/>
      <c r="C61" s="21"/>
      <c r="D61" s="21" t="s">
        <v>556</v>
      </c>
      <c r="E61" s="28"/>
      <c r="F61" s="28"/>
      <c r="G61" s="28"/>
    </row>
    <row r="62" spans="1:7" s="29" customFormat="1" ht="12.75" x14ac:dyDescent="0.2">
      <c r="A62" s="21"/>
      <c r="B62" s="21"/>
      <c r="C62" s="21"/>
      <c r="D62" s="21"/>
      <c r="E62" s="28"/>
      <c r="F62" s="28"/>
      <c r="G62" s="28"/>
    </row>
    <row r="63" spans="1:7" s="29" customFormat="1" ht="12.75" x14ac:dyDescent="0.2">
      <c r="A63" s="21"/>
      <c r="B63" s="21"/>
      <c r="C63" s="21"/>
      <c r="D63" s="21"/>
      <c r="E63" s="28"/>
      <c r="F63" s="28"/>
      <c r="G63" s="28"/>
    </row>
    <row r="64" spans="1:7" s="29" customFormat="1" ht="12.75" x14ac:dyDescent="0.2">
      <c r="A64" s="21"/>
      <c r="B64" s="21"/>
      <c r="C64" s="21"/>
      <c r="D64" s="21"/>
      <c r="E64" s="28"/>
      <c r="F64" s="28"/>
      <c r="G64" s="28"/>
    </row>
    <row r="65" spans="1:7" s="29" customFormat="1" ht="12.75" x14ac:dyDescent="0.2">
      <c r="A65" s="21"/>
      <c r="B65" s="21"/>
      <c r="C65" s="21"/>
      <c r="D65" s="21"/>
      <c r="E65" s="28"/>
      <c r="F65" s="28"/>
      <c r="G65" s="28"/>
    </row>
    <row r="66" spans="1:7" s="29" customFormat="1" ht="12.75" x14ac:dyDescent="0.2">
      <c r="A66" s="21"/>
      <c r="B66" s="21"/>
      <c r="C66" s="21"/>
      <c r="D66" s="21"/>
      <c r="E66" s="28"/>
      <c r="F66" s="28"/>
      <c r="G66" s="28"/>
    </row>
    <row r="67" spans="1:7" s="29" customFormat="1" ht="12.75" x14ac:dyDescent="0.2">
      <c r="A67" s="21"/>
      <c r="B67" s="21"/>
      <c r="C67" s="21"/>
      <c r="D67" s="21"/>
      <c r="E67" s="28"/>
      <c r="F67" s="28"/>
      <c r="G67" s="28"/>
    </row>
    <row r="68" spans="1:7" s="29" customFormat="1" ht="12.75" x14ac:dyDescent="0.2">
      <c r="A68" s="21"/>
      <c r="B68" s="21"/>
      <c r="C68" s="21"/>
      <c r="D68" s="21"/>
      <c r="E68" s="28"/>
      <c r="F68" s="28"/>
      <c r="G68" s="28"/>
    </row>
    <row r="69" spans="1:7" s="29" customFormat="1" ht="12.75" x14ac:dyDescent="0.2">
      <c r="A69" s="21"/>
      <c r="B69" s="21"/>
      <c r="C69" s="21"/>
      <c r="D69" s="21"/>
      <c r="E69" s="28"/>
      <c r="F69" s="28"/>
      <c r="G69" s="28"/>
    </row>
    <row r="70" spans="1:7" s="29" customFormat="1" ht="12.75" x14ac:dyDescent="0.2">
      <c r="A70" s="21"/>
      <c r="B70" s="21"/>
      <c r="C70" s="21"/>
      <c r="D70" s="21"/>
      <c r="E70" s="28"/>
      <c r="F70" s="28"/>
      <c r="G70" s="28"/>
    </row>
    <row r="71" spans="1:7" s="29" customFormat="1" ht="12.75" x14ac:dyDescent="0.2">
      <c r="A71" s="21"/>
      <c r="B71" s="21"/>
      <c r="C71" s="21"/>
      <c r="D71" s="21"/>
      <c r="E71" s="28"/>
      <c r="F71" s="28"/>
      <c r="G71" s="28"/>
    </row>
    <row r="72" spans="1:7" s="29" customFormat="1" ht="12.75" x14ac:dyDescent="0.2">
      <c r="A72" s="21"/>
      <c r="B72" s="21"/>
      <c r="C72" s="21"/>
      <c r="D72" s="21"/>
      <c r="E72" s="28"/>
      <c r="F72" s="28"/>
      <c r="G72" s="28"/>
    </row>
    <row r="73" spans="1:7" s="29" customFormat="1" ht="12.75" x14ac:dyDescent="0.2">
      <c r="A73" s="21"/>
      <c r="B73" s="21"/>
      <c r="C73" s="21"/>
      <c r="D73" s="21"/>
      <c r="E73" s="28"/>
      <c r="F73" s="28"/>
      <c r="G73" s="28"/>
    </row>
    <row r="74" spans="1:7" s="29" customFormat="1" ht="12.75" x14ac:dyDescent="0.2">
      <c r="A74" s="21"/>
      <c r="B74" s="21"/>
      <c r="C74" s="21"/>
      <c r="D74" s="21"/>
      <c r="E74" s="28"/>
      <c r="F74" s="28"/>
      <c r="G74" s="28"/>
    </row>
    <row r="75" spans="1:7" s="29" customFormat="1" ht="12.75" x14ac:dyDescent="0.2">
      <c r="A75" s="21"/>
      <c r="B75" s="21"/>
      <c r="C75" s="21"/>
      <c r="D75" s="21"/>
      <c r="E75" s="28"/>
      <c r="F75" s="28"/>
      <c r="G75" s="28"/>
    </row>
    <row r="76" spans="1:7" s="29" customFormat="1" ht="12.75" x14ac:dyDescent="0.2">
      <c r="A76" s="21"/>
      <c r="B76" s="21"/>
      <c r="C76" s="21"/>
      <c r="D76" s="21"/>
      <c r="E76" s="28"/>
      <c r="F76" s="28"/>
      <c r="G76" s="28"/>
    </row>
    <row r="77" spans="1:7" s="29" customFormat="1" ht="12.75" x14ac:dyDescent="0.2">
      <c r="A77" s="21"/>
      <c r="B77" s="21"/>
      <c r="C77" s="21"/>
      <c r="D77" s="21"/>
      <c r="E77" s="28"/>
      <c r="F77" s="28"/>
      <c r="G77" s="28"/>
    </row>
    <row r="78" spans="1:7" s="29" customFormat="1" ht="12.75" x14ac:dyDescent="0.2">
      <c r="A78" s="21"/>
      <c r="B78" s="21"/>
      <c r="C78" s="21"/>
      <c r="D78" s="21"/>
      <c r="E78" s="28"/>
      <c r="F78" s="28"/>
      <c r="G78" s="28"/>
    </row>
    <row r="79" spans="1:7" s="29" customFormat="1" ht="12.75" x14ac:dyDescent="0.2">
      <c r="A79" s="21"/>
      <c r="B79" s="21"/>
      <c r="C79" s="21"/>
      <c r="D79" s="21"/>
      <c r="E79" s="28"/>
      <c r="F79" s="28"/>
      <c r="G79" s="28"/>
    </row>
    <row r="80" spans="1:7" s="29" customFormat="1" ht="12.75" x14ac:dyDescent="0.2">
      <c r="A80" s="21"/>
      <c r="B80" s="21"/>
      <c r="C80" s="21"/>
      <c r="D80" s="21"/>
      <c r="E80" s="28"/>
      <c r="F80" s="28"/>
      <c r="G80" s="28"/>
    </row>
    <row r="81" spans="1:7" s="29" customFormat="1" ht="12.75" x14ac:dyDescent="0.2">
      <c r="A81" s="21"/>
      <c r="B81" s="21"/>
      <c r="C81" s="21"/>
      <c r="D81" s="21"/>
      <c r="E81" s="28"/>
      <c r="F81" s="28"/>
      <c r="G81" s="28"/>
    </row>
    <row r="82" spans="1:7" s="29" customFormat="1" ht="12.75" x14ac:dyDescent="0.2">
      <c r="A82" s="21"/>
      <c r="B82" s="21"/>
      <c r="C82" s="21"/>
      <c r="D82" s="21"/>
      <c r="E82" s="28"/>
      <c r="F82" s="28"/>
      <c r="G82" s="28"/>
    </row>
    <row r="83" spans="1:7" s="29" customFormat="1" ht="12.75" x14ac:dyDescent="0.2">
      <c r="A83" s="21"/>
      <c r="B83" s="21"/>
      <c r="C83" s="21"/>
      <c r="D83" s="21"/>
      <c r="E83" s="28"/>
      <c r="F83" s="28"/>
      <c r="G83" s="28"/>
    </row>
    <row r="84" spans="1:7" s="29" customFormat="1" ht="12.75" x14ac:dyDescent="0.2">
      <c r="A84" s="21"/>
      <c r="B84" s="21"/>
      <c r="C84" s="21"/>
      <c r="D84" s="21"/>
      <c r="E84" s="28"/>
      <c r="F84" s="28"/>
      <c r="G84" s="28"/>
    </row>
    <row r="85" spans="1:7" s="29" customFormat="1" ht="12.75" x14ac:dyDescent="0.2">
      <c r="A85" s="21"/>
      <c r="B85" s="21"/>
      <c r="C85" s="21"/>
      <c r="D85" s="21"/>
      <c r="E85" s="28"/>
      <c r="F85" s="28"/>
      <c r="G85" s="28"/>
    </row>
    <row r="86" spans="1:7" s="29" customFormat="1" ht="12.75" x14ac:dyDescent="0.2">
      <c r="A86" s="21"/>
      <c r="B86" s="21"/>
      <c r="C86" s="21"/>
      <c r="D86" s="21"/>
      <c r="E86" s="28"/>
      <c r="F86" s="28"/>
      <c r="G86" s="28"/>
    </row>
    <row r="87" spans="1:7" s="29" customFormat="1" ht="12.75" x14ac:dyDescent="0.2">
      <c r="A87" s="21"/>
      <c r="B87" s="21"/>
      <c r="C87" s="21"/>
      <c r="D87" s="21"/>
      <c r="E87" s="28"/>
      <c r="F87" s="28"/>
      <c r="G87" s="28"/>
    </row>
    <row r="88" spans="1:7" s="29" customFormat="1" ht="12.75" x14ac:dyDescent="0.2">
      <c r="A88" s="21"/>
      <c r="B88" s="21"/>
      <c r="C88" s="21"/>
      <c r="D88" s="21"/>
      <c r="E88" s="28"/>
      <c r="F88" s="28"/>
      <c r="G88" s="28"/>
    </row>
    <row r="89" spans="1:7" s="29" customFormat="1" ht="12.75" x14ac:dyDescent="0.2">
      <c r="A89" s="21"/>
      <c r="B89" s="21"/>
      <c r="C89" s="21"/>
      <c r="D89" s="21"/>
      <c r="E89" s="28"/>
      <c r="F89" s="28"/>
      <c r="G89" s="28"/>
    </row>
    <row r="90" spans="1:7" s="29" customFormat="1" ht="12.75" x14ac:dyDescent="0.2">
      <c r="A90" s="21"/>
      <c r="B90" s="21"/>
      <c r="C90" s="21"/>
      <c r="D90" s="21"/>
      <c r="E90" s="28"/>
      <c r="F90" s="28"/>
      <c r="G90" s="28"/>
    </row>
    <row r="91" spans="1:7" s="29" customFormat="1" ht="12.75" x14ac:dyDescent="0.2">
      <c r="A91" s="21"/>
      <c r="B91" s="21"/>
      <c r="C91" s="21"/>
      <c r="D91" s="21"/>
      <c r="E91" s="28"/>
      <c r="F91" s="28"/>
      <c r="G91" s="28"/>
    </row>
    <row r="92" spans="1:7" s="29" customFormat="1" ht="12.75" x14ac:dyDescent="0.2">
      <c r="A92" s="21"/>
      <c r="B92" s="21"/>
      <c r="C92" s="21"/>
      <c r="D92" s="21"/>
      <c r="E92" s="28"/>
      <c r="F92" s="28"/>
      <c r="G92" s="28"/>
    </row>
    <row r="93" spans="1:7" s="29" customFormat="1" ht="12.75" x14ac:dyDescent="0.2">
      <c r="A93" s="21"/>
      <c r="B93" s="21"/>
      <c r="C93" s="21"/>
      <c r="D93" s="21"/>
      <c r="E93" s="28"/>
      <c r="F93" s="28"/>
      <c r="G93" s="28"/>
    </row>
    <row r="94" spans="1:7" s="29" customFormat="1" ht="12.75" x14ac:dyDescent="0.2">
      <c r="A94" s="21"/>
      <c r="B94" s="21"/>
      <c r="C94" s="21"/>
      <c r="D94" s="21"/>
      <c r="E94" s="28"/>
      <c r="F94" s="28"/>
      <c r="G94" s="28"/>
    </row>
    <row r="95" spans="1:7" s="29" customFormat="1" ht="12.75" x14ac:dyDescent="0.2">
      <c r="A95" s="21"/>
      <c r="B95" s="21"/>
      <c r="C95" s="21"/>
      <c r="D95" s="21"/>
      <c r="E95" s="28"/>
      <c r="F95" s="28"/>
      <c r="G95" s="28"/>
    </row>
    <row r="96" spans="1:7" s="29" customFormat="1" ht="12.75" x14ac:dyDescent="0.2">
      <c r="A96" s="21"/>
      <c r="B96" s="21"/>
      <c r="C96" s="21"/>
      <c r="D96" s="21"/>
      <c r="E96" s="28"/>
      <c r="F96" s="28"/>
      <c r="G96" s="28"/>
    </row>
    <row r="97" spans="1:7" s="29" customFormat="1" ht="12.75" x14ac:dyDescent="0.2">
      <c r="A97" s="21"/>
      <c r="B97" s="21"/>
      <c r="C97" s="21"/>
      <c r="D97" s="21"/>
      <c r="E97" s="28"/>
      <c r="F97" s="28"/>
      <c r="G97" s="28"/>
    </row>
    <row r="98" spans="1:7" s="29" customFormat="1" ht="12.75" x14ac:dyDescent="0.2">
      <c r="A98" s="21"/>
      <c r="B98" s="21"/>
      <c r="C98" s="21"/>
      <c r="D98" s="21"/>
      <c r="E98" s="28"/>
      <c r="F98" s="28"/>
      <c r="G98" s="28"/>
    </row>
    <row r="99" spans="1:7" s="29" customFormat="1" ht="12.75" x14ac:dyDescent="0.2">
      <c r="A99" s="21"/>
      <c r="B99" s="21"/>
      <c r="C99" s="21"/>
      <c r="D99" s="21"/>
      <c r="E99" s="28"/>
      <c r="F99" s="28"/>
      <c r="G99" s="28"/>
    </row>
    <row r="100" spans="1:7" s="29" customFormat="1" ht="12.75" x14ac:dyDescent="0.2">
      <c r="A100" s="21"/>
      <c r="B100" s="21"/>
      <c r="C100" s="21"/>
      <c r="D100" s="21"/>
      <c r="E100" s="28"/>
      <c r="F100" s="28"/>
      <c r="G100" s="28"/>
    </row>
    <row r="101" spans="1:7" s="29" customFormat="1" ht="12.75" x14ac:dyDescent="0.2">
      <c r="A101" s="21"/>
      <c r="B101" s="21"/>
      <c r="C101" s="21"/>
      <c r="D101" s="21"/>
      <c r="E101" s="28"/>
      <c r="F101" s="28"/>
      <c r="G101" s="28"/>
    </row>
    <row r="102" spans="1:7" s="29" customFormat="1" ht="12.75" x14ac:dyDescent="0.2">
      <c r="A102" s="21"/>
      <c r="B102" s="21"/>
      <c r="C102" s="21"/>
      <c r="D102" s="21"/>
      <c r="E102" s="28"/>
      <c r="F102" s="28"/>
      <c r="G102" s="28"/>
    </row>
    <row r="103" spans="1:7" s="29" customFormat="1" ht="12.75" x14ac:dyDescent="0.2">
      <c r="A103" s="21"/>
      <c r="B103" s="21"/>
      <c r="C103" s="21"/>
      <c r="D103" s="21"/>
      <c r="E103" s="28"/>
      <c r="F103" s="28"/>
      <c r="G103" s="28"/>
    </row>
    <row r="104" spans="1:7" s="29" customFormat="1" ht="12.75" x14ac:dyDescent="0.2">
      <c r="A104" s="21"/>
      <c r="B104" s="21"/>
      <c r="C104" s="21"/>
      <c r="D104" s="21"/>
      <c r="E104" s="28"/>
      <c r="F104" s="28"/>
      <c r="G104" s="28"/>
    </row>
    <row r="105" spans="1:7" s="29" customFormat="1" ht="12.75" x14ac:dyDescent="0.2">
      <c r="A105" s="21"/>
      <c r="B105" s="21"/>
      <c r="C105" s="21"/>
      <c r="D105" s="21"/>
      <c r="E105" s="28"/>
      <c r="F105" s="28"/>
      <c r="G105" s="28"/>
    </row>
    <row r="106" spans="1:7" s="29" customFormat="1" ht="12.75" x14ac:dyDescent="0.2">
      <c r="A106" s="21"/>
      <c r="B106" s="21"/>
      <c r="C106" s="21"/>
      <c r="D106" s="21"/>
      <c r="E106" s="28"/>
      <c r="F106" s="28"/>
      <c r="G106" s="28"/>
    </row>
    <row r="107" spans="1:7" s="29" customFormat="1" ht="12.75" x14ac:dyDescent="0.2">
      <c r="A107" s="21"/>
      <c r="B107" s="21"/>
      <c r="C107" s="21"/>
      <c r="D107" s="21"/>
      <c r="E107" s="28"/>
      <c r="F107" s="28"/>
      <c r="G107" s="28"/>
    </row>
    <row r="108" spans="1:7" s="29" customFormat="1" ht="12.75" x14ac:dyDescent="0.2">
      <c r="A108" s="21"/>
      <c r="B108" s="21"/>
      <c r="C108" s="21"/>
      <c r="D108" s="21"/>
      <c r="E108" s="28"/>
      <c r="F108" s="28"/>
      <c r="G108" s="28"/>
    </row>
    <row r="109" spans="1:7" s="29" customFormat="1" ht="12.75" x14ac:dyDescent="0.2">
      <c r="A109" s="21"/>
      <c r="B109" s="21"/>
      <c r="C109" s="21"/>
      <c r="D109" s="21"/>
      <c r="E109" s="28"/>
      <c r="F109" s="28"/>
      <c r="G109" s="28"/>
    </row>
    <row r="110" spans="1:7" s="29" customFormat="1" ht="12.75" x14ac:dyDescent="0.2">
      <c r="A110" s="21"/>
      <c r="B110" s="21"/>
      <c r="C110" s="21"/>
      <c r="D110" s="21"/>
      <c r="E110" s="28"/>
      <c r="F110" s="28"/>
      <c r="G110" s="28"/>
    </row>
    <row r="111" spans="1:7" s="29" customFormat="1" ht="12.75" x14ac:dyDescent="0.2">
      <c r="A111" s="21"/>
      <c r="B111" s="21"/>
      <c r="C111" s="21"/>
      <c r="D111" s="21"/>
      <c r="E111" s="28"/>
      <c r="F111" s="28"/>
      <c r="G111" s="28"/>
    </row>
    <row r="112" spans="1:7" s="29" customFormat="1" ht="12.75" x14ac:dyDescent="0.2">
      <c r="A112" s="21"/>
      <c r="B112" s="21"/>
      <c r="C112" s="21"/>
      <c r="D112" s="21"/>
      <c r="E112" s="28"/>
      <c r="F112" s="28"/>
      <c r="G112" s="28"/>
    </row>
    <row r="113" spans="1:7" s="29" customFormat="1" ht="12.75" x14ac:dyDescent="0.2">
      <c r="A113" s="21"/>
      <c r="B113" s="21"/>
      <c r="C113" s="21"/>
      <c r="D113" s="21"/>
      <c r="E113" s="28"/>
      <c r="F113" s="28"/>
      <c r="G113" s="28"/>
    </row>
    <row r="114" spans="1:7" s="29" customFormat="1" ht="12.75" x14ac:dyDescent="0.2">
      <c r="A114" s="21"/>
      <c r="B114" s="21"/>
      <c r="C114" s="21"/>
      <c r="D114" s="21"/>
      <c r="E114" s="28"/>
      <c r="F114" s="28"/>
      <c r="G114" s="28"/>
    </row>
    <row r="115" spans="1:7" s="29" customFormat="1" ht="12.75" x14ac:dyDescent="0.2">
      <c r="A115" s="21"/>
      <c r="B115" s="21"/>
      <c r="C115" s="21"/>
      <c r="D115" s="21"/>
      <c r="E115" s="28"/>
      <c r="F115" s="28"/>
      <c r="G115" s="28"/>
    </row>
    <row r="116" spans="1:7" s="29" customFormat="1" ht="12.75" x14ac:dyDescent="0.2">
      <c r="A116" s="21"/>
      <c r="B116" s="21"/>
      <c r="C116" s="21"/>
      <c r="D116" s="21"/>
      <c r="E116" s="28"/>
      <c r="F116" s="28"/>
      <c r="G116" s="28"/>
    </row>
    <row r="117" spans="1:7" s="29" customFormat="1" ht="12.75" x14ac:dyDescent="0.2">
      <c r="A117" s="21"/>
      <c r="B117" s="21"/>
      <c r="C117" s="21"/>
      <c r="D117" s="21"/>
      <c r="E117" s="28"/>
      <c r="F117" s="28"/>
      <c r="G117" s="28"/>
    </row>
    <row r="118" spans="1:7" s="29" customFormat="1" ht="12.75" x14ac:dyDescent="0.2">
      <c r="A118" s="21"/>
      <c r="B118" s="21"/>
      <c r="C118" s="21"/>
      <c r="D118" s="21"/>
      <c r="E118" s="28"/>
      <c r="F118" s="28"/>
      <c r="G118" s="28"/>
    </row>
    <row r="119" spans="1:7" s="29" customFormat="1" ht="12.75" x14ac:dyDescent="0.2">
      <c r="A119" s="21"/>
      <c r="B119" s="21"/>
      <c r="C119" s="21"/>
      <c r="D119" s="21"/>
      <c r="E119" s="28"/>
      <c r="F119" s="28"/>
      <c r="G119" s="28"/>
    </row>
    <row r="120" spans="1:7" s="29" customFormat="1" ht="12.75" x14ac:dyDescent="0.2">
      <c r="A120" s="21"/>
      <c r="B120" s="21"/>
      <c r="C120" s="21"/>
      <c r="D120" s="21"/>
      <c r="E120" s="28"/>
      <c r="F120" s="28"/>
      <c r="G120" s="28"/>
    </row>
    <row r="121" spans="1:7" s="29" customFormat="1" ht="12.75" x14ac:dyDescent="0.2">
      <c r="A121" s="21"/>
      <c r="B121" s="21"/>
      <c r="C121" s="21"/>
      <c r="D121" s="21"/>
      <c r="E121" s="28"/>
      <c r="F121" s="28"/>
      <c r="G121" s="28"/>
    </row>
    <row r="122" spans="1:7" s="29" customFormat="1" ht="12.75" x14ac:dyDescent="0.2">
      <c r="A122" s="21"/>
      <c r="B122" s="21"/>
      <c r="C122" s="21"/>
      <c r="D122" s="21"/>
      <c r="E122" s="28"/>
      <c r="F122" s="28"/>
      <c r="G122" s="28"/>
    </row>
    <row r="123" spans="1:7" s="29" customFormat="1" ht="12.75" x14ac:dyDescent="0.2">
      <c r="A123" s="21"/>
      <c r="B123" s="21"/>
      <c r="C123" s="21"/>
      <c r="D123" s="21"/>
      <c r="E123" s="28"/>
      <c r="F123" s="28"/>
      <c r="G123" s="28"/>
    </row>
    <row r="124" spans="1:7" s="29" customFormat="1" ht="12.75" x14ac:dyDescent="0.2">
      <c r="A124" s="21"/>
      <c r="B124" s="21"/>
      <c r="C124" s="21"/>
      <c r="D124" s="21"/>
      <c r="E124" s="28"/>
      <c r="F124" s="28"/>
      <c r="G124" s="28"/>
    </row>
    <row r="125" spans="1:7" s="29" customFormat="1" ht="12.75" x14ac:dyDescent="0.2">
      <c r="A125" s="21"/>
      <c r="B125" s="21"/>
      <c r="C125" s="21"/>
      <c r="D125" s="21"/>
      <c r="E125" s="28"/>
      <c r="F125" s="28"/>
      <c r="G125" s="28"/>
    </row>
  </sheetData>
  <mergeCells count="5">
    <mergeCell ref="A1:F2"/>
    <mergeCell ref="G1:G5"/>
    <mergeCell ref="A3:C3"/>
    <mergeCell ref="A4:C4"/>
    <mergeCell ref="A5:C5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F9C56B-5779-408B-BD53-A76277994EF6}">
  <sheetPr codeName="Hoja11"/>
  <dimension ref="A1:G26"/>
  <sheetViews>
    <sheetView showGridLines="0" zoomScale="152" zoomScaleNormal="150" workbookViewId="0">
      <pane xSplit="7" ySplit="6" topLeftCell="H7" activePane="bottomRight" state="frozen"/>
      <selection pane="topRight" activeCell="H1" sqref="H1"/>
      <selection pane="bottomLeft" activeCell="A7" sqref="A7"/>
      <selection pane="bottomRight" activeCell="D8" sqref="D8"/>
    </sheetView>
  </sheetViews>
  <sheetFormatPr baseColWidth="10" defaultRowHeight="15" x14ac:dyDescent="0.25"/>
  <cols>
    <col min="1" max="1" width="4.28515625" style="6" bestFit="1" customWidth="1"/>
    <col min="2" max="2" width="12" style="6" customWidth="1"/>
    <col min="3" max="3" width="17.140625" style="6" customWidth="1"/>
    <col min="4" max="4" width="26.28515625" style="6" bestFit="1" customWidth="1"/>
    <col min="5" max="5" width="15" style="6" customWidth="1"/>
    <col min="6" max="6" width="14.42578125" style="16" customWidth="1"/>
    <col min="7" max="7" width="26" style="16" customWidth="1"/>
  </cols>
  <sheetData>
    <row r="1" spans="1:7" ht="15" customHeight="1" x14ac:dyDescent="0.25">
      <c r="A1" s="36" t="s">
        <v>8</v>
      </c>
      <c r="B1" s="37"/>
      <c r="C1" s="37"/>
      <c r="D1" s="37"/>
      <c r="E1" s="37"/>
      <c r="F1" s="37"/>
      <c r="G1" s="52"/>
    </row>
    <row r="2" spans="1:7" ht="39" customHeight="1" thickBot="1" x14ac:dyDescent="0.3">
      <c r="A2" s="39"/>
      <c r="B2" s="40"/>
      <c r="C2" s="40"/>
      <c r="D2" s="60"/>
      <c r="E2" s="60"/>
      <c r="F2" s="60"/>
      <c r="G2" s="53"/>
    </row>
    <row r="3" spans="1:7" ht="19.5" thickTop="1" thickBot="1" x14ac:dyDescent="0.3">
      <c r="A3" s="63" t="s">
        <v>24</v>
      </c>
      <c r="B3" s="64"/>
      <c r="C3" s="65"/>
      <c r="D3" s="7"/>
      <c r="E3" s="8"/>
      <c r="F3" s="17"/>
      <c r="G3" s="53"/>
    </row>
    <row r="4" spans="1:7" ht="15.75" thickTop="1" x14ac:dyDescent="0.25">
      <c r="A4" s="58"/>
      <c r="B4" s="58"/>
      <c r="C4" s="58"/>
      <c r="D4" s="3"/>
      <c r="E4" s="3"/>
      <c r="F4" s="3"/>
      <c r="G4" s="53"/>
    </row>
    <row r="5" spans="1:7" ht="15.75" thickBot="1" x14ac:dyDescent="0.3">
      <c r="A5" s="59" t="s">
        <v>6</v>
      </c>
      <c r="B5" s="59"/>
      <c r="C5" s="59"/>
      <c r="D5" s="10" t="s">
        <v>40</v>
      </c>
      <c r="E5" s="11" t="s">
        <v>23</v>
      </c>
      <c r="F5" s="14" t="s">
        <v>48</v>
      </c>
      <c r="G5" s="54"/>
    </row>
    <row r="6" spans="1:7" ht="27.75" customHeight="1" thickBot="1" x14ac:dyDescent="0.3">
      <c r="A6" s="12" t="s">
        <v>5</v>
      </c>
      <c r="B6" s="13" t="s">
        <v>0</v>
      </c>
      <c r="C6" s="13" t="s">
        <v>1</v>
      </c>
      <c r="D6" s="13" t="s">
        <v>2</v>
      </c>
      <c r="E6" s="13" t="s">
        <v>14</v>
      </c>
      <c r="F6" s="13" t="s">
        <v>3</v>
      </c>
      <c r="G6" s="15" t="s">
        <v>4</v>
      </c>
    </row>
    <row r="7" spans="1:7" x14ac:dyDescent="0.25">
      <c r="D7" s="6" t="s">
        <v>300</v>
      </c>
      <c r="G7" s="16" t="s">
        <v>623</v>
      </c>
    </row>
    <row r="8" spans="1:7" x14ac:dyDescent="0.25">
      <c r="D8" s="6" t="s">
        <v>354</v>
      </c>
      <c r="G8" s="16" t="s">
        <v>355</v>
      </c>
    </row>
    <row r="9" spans="1:7" x14ac:dyDescent="0.25">
      <c r="D9" s="6" t="s">
        <v>356</v>
      </c>
      <c r="G9" s="16">
        <v>70</v>
      </c>
    </row>
    <row r="10" spans="1:7" x14ac:dyDescent="0.25">
      <c r="D10" s="6" t="s">
        <v>359</v>
      </c>
      <c r="G10" s="16">
        <v>70</v>
      </c>
    </row>
    <row r="11" spans="1:7" x14ac:dyDescent="0.25">
      <c r="D11" s="6" t="s">
        <v>357</v>
      </c>
      <c r="G11" s="16">
        <v>65</v>
      </c>
    </row>
    <row r="12" spans="1:7" x14ac:dyDescent="0.25">
      <c r="D12" s="6" t="s">
        <v>358</v>
      </c>
      <c r="G12" s="16">
        <v>65</v>
      </c>
    </row>
    <row r="13" spans="1:7" x14ac:dyDescent="0.25">
      <c r="D13" s="6" t="s">
        <v>360</v>
      </c>
      <c r="G13" s="16">
        <v>60</v>
      </c>
    </row>
    <row r="14" spans="1:7" x14ac:dyDescent="0.25">
      <c r="D14" s="6" t="s">
        <v>361</v>
      </c>
      <c r="G14" s="16">
        <v>45</v>
      </c>
    </row>
    <row r="15" spans="1:7" x14ac:dyDescent="0.25">
      <c r="D15" s="6" t="s">
        <v>362</v>
      </c>
      <c r="G15" s="16">
        <v>45</v>
      </c>
    </row>
    <row r="16" spans="1:7" x14ac:dyDescent="0.25">
      <c r="D16" s="6" t="s">
        <v>446</v>
      </c>
    </row>
    <row r="17" spans="4:7" x14ac:dyDescent="0.25">
      <c r="D17" s="6" t="s">
        <v>481</v>
      </c>
      <c r="F17" s="16">
        <f>12*6</f>
        <v>72</v>
      </c>
      <c r="G17" s="16">
        <v>65</v>
      </c>
    </row>
    <row r="18" spans="4:7" x14ac:dyDescent="0.25">
      <c r="D18" s="6" t="s">
        <v>482</v>
      </c>
      <c r="G18" s="16">
        <v>65</v>
      </c>
    </row>
    <row r="19" spans="4:7" x14ac:dyDescent="0.25">
      <c r="D19" s="6" t="s">
        <v>483</v>
      </c>
      <c r="G19" s="16">
        <v>45</v>
      </c>
    </row>
    <row r="20" spans="4:7" x14ac:dyDescent="0.25">
      <c r="D20" s="6" t="s">
        <v>484</v>
      </c>
      <c r="G20" s="16">
        <v>40</v>
      </c>
    </row>
    <row r="21" spans="4:7" x14ac:dyDescent="0.25">
      <c r="D21" s="6" t="s">
        <v>512</v>
      </c>
      <c r="F21" s="16">
        <v>12</v>
      </c>
      <c r="G21" s="16" t="s">
        <v>513</v>
      </c>
    </row>
    <row r="22" spans="4:7" x14ac:dyDescent="0.25">
      <c r="D22" s="6" t="s">
        <v>514</v>
      </c>
      <c r="F22" s="16">
        <v>8</v>
      </c>
      <c r="G22" s="16">
        <v>235</v>
      </c>
    </row>
    <row r="23" spans="4:7" x14ac:dyDescent="0.25">
      <c r="D23" s="6" t="s">
        <v>522</v>
      </c>
      <c r="G23" s="16">
        <v>340</v>
      </c>
    </row>
    <row r="24" spans="4:7" x14ac:dyDescent="0.25">
      <c r="D24" s="6" t="s">
        <v>570</v>
      </c>
      <c r="F24" s="16">
        <v>7</v>
      </c>
      <c r="G24" s="16">
        <v>126</v>
      </c>
    </row>
    <row r="25" spans="4:7" x14ac:dyDescent="0.25">
      <c r="D25" s="6" t="s">
        <v>601</v>
      </c>
      <c r="F25" s="16">
        <v>60</v>
      </c>
    </row>
    <row r="26" spans="4:7" x14ac:dyDescent="0.25">
      <c r="D26" s="6" t="s">
        <v>620</v>
      </c>
      <c r="G26" s="16">
        <v>165</v>
      </c>
    </row>
  </sheetData>
  <mergeCells count="5">
    <mergeCell ref="A1:F2"/>
    <mergeCell ref="G1:G5"/>
    <mergeCell ref="A3:C3"/>
    <mergeCell ref="A4:C4"/>
    <mergeCell ref="A5:C5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13B7B2-D406-4228-BBBB-1EA394CC0714}">
  <sheetPr codeName="Hoja12"/>
  <dimension ref="A1:I113"/>
  <sheetViews>
    <sheetView showGridLines="0" tabSelected="1" zoomScale="149" zoomScaleNormal="150" workbookViewId="0">
      <pane xSplit="7" ySplit="6" topLeftCell="H54" activePane="bottomRight" state="frozen"/>
      <selection pane="topRight" activeCell="H1" sqref="H1"/>
      <selection pane="bottomLeft" activeCell="A7" sqref="A7"/>
      <selection pane="bottomRight" activeCell="G56" sqref="G56"/>
    </sheetView>
  </sheetViews>
  <sheetFormatPr baseColWidth="10" defaultRowHeight="15" x14ac:dyDescent="0.25"/>
  <cols>
    <col min="1" max="1" width="4.28515625" style="16" bestFit="1" customWidth="1"/>
    <col min="2" max="2" width="12" style="6" customWidth="1"/>
    <col min="3" max="3" width="17.140625" style="6" customWidth="1"/>
    <col min="4" max="4" width="32.85546875" style="6" bestFit="1" customWidth="1"/>
    <col min="5" max="5" width="15" style="16" customWidth="1"/>
    <col min="6" max="6" width="14.42578125" style="16" customWidth="1"/>
    <col min="7" max="7" width="26" style="16" customWidth="1"/>
  </cols>
  <sheetData>
    <row r="1" spans="1:7" ht="15" customHeight="1" x14ac:dyDescent="0.25">
      <c r="A1" s="36" t="s">
        <v>8</v>
      </c>
      <c r="B1" s="37"/>
      <c r="C1" s="37"/>
      <c r="D1" s="37"/>
      <c r="E1" s="37"/>
      <c r="F1" s="37"/>
      <c r="G1" s="52"/>
    </row>
    <row r="2" spans="1:7" ht="39" customHeight="1" thickBot="1" x14ac:dyDescent="0.3">
      <c r="A2" s="39"/>
      <c r="B2" s="40"/>
      <c r="C2" s="40"/>
      <c r="D2" s="60"/>
      <c r="E2" s="60"/>
      <c r="F2" s="60"/>
      <c r="G2" s="53"/>
    </row>
    <row r="3" spans="1:7" ht="19.5" thickTop="1" thickBot="1" x14ac:dyDescent="0.3">
      <c r="A3" s="63" t="s">
        <v>24</v>
      </c>
      <c r="B3" s="64"/>
      <c r="C3" s="65"/>
      <c r="D3" s="7"/>
      <c r="E3" s="8"/>
      <c r="F3" s="17"/>
      <c r="G3" s="53"/>
    </row>
    <row r="4" spans="1:7" ht="15.75" thickTop="1" x14ac:dyDescent="0.25">
      <c r="A4" s="58"/>
      <c r="B4" s="58"/>
      <c r="C4" s="58"/>
      <c r="D4" s="3"/>
      <c r="E4" s="3"/>
      <c r="F4" s="3"/>
      <c r="G4" s="53"/>
    </row>
    <row r="5" spans="1:7" ht="15.75" thickBot="1" x14ac:dyDescent="0.3">
      <c r="A5" s="59" t="s">
        <v>6</v>
      </c>
      <c r="B5" s="59"/>
      <c r="C5" s="59"/>
      <c r="D5" s="10" t="s">
        <v>41</v>
      </c>
      <c r="E5" s="11" t="s">
        <v>23</v>
      </c>
      <c r="F5" s="14" t="s">
        <v>49</v>
      </c>
      <c r="G5" s="54"/>
    </row>
    <row r="6" spans="1:7" ht="27.75" customHeight="1" thickBot="1" x14ac:dyDescent="0.3">
      <c r="A6" s="12" t="s">
        <v>5</v>
      </c>
      <c r="B6" s="13" t="s">
        <v>0</v>
      </c>
      <c r="C6" s="13" t="s">
        <v>1</v>
      </c>
      <c r="D6" s="13" t="s">
        <v>2</v>
      </c>
      <c r="E6" s="13" t="s">
        <v>14</v>
      </c>
      <c r="F6" s="13" t="s">
        <v>3</v>
      </c>
      <c r="G6" s="15" t="s">
        <v>4</v>
      </c>
    </row>
    <row r="7" spans="1:7" x14ac:dyDescent="0.25">
      <c r="A7" s="16">
        <v>1</v>
      </c>
      <c r="D7" s="6" t="s">
        <v>97</v>
      </c>
      <c r="E7" s="16">
        <v>12</v>
      </c>
      <c r="F7" s="16">
        <v>110</v>
      </c>
      <c r="G7" s="16">
        <v>1200</v>
      </c>
    </row>
    <row r="8" spans="1:7" x14ac:dyDescent="0.25">
      <c r="A8" s="16">
        <v>2</v>
      </c>
      <c r="D8" s="6" t="s">
        <v>98</v>
      </c>
      <c r="F8" s="16">
        <v>40</v>
      </c>
      <c r="G8" s="16">
        <v>340</v>
      </c>
    </row>
    <row r="9" spans="1:7" x14ac:dyDescent="0.25">
      <c r="A9" s="16">
        <v>3</v>
      </c>
      <c r="D9" s="6" t="s">
        <v>114</v>
      </c>
      <c r="F9" s="16">
        <v>40</v>
      </c>
      <c r="G9" s="16">
        <v>480</v>
      </c>
    </row>
    <row r="10" spans="1:7" x14ac:dyDescent="0.25">
      <c r="A10" s="16">
        <v>5</v>
      </c>
      <c r="C10" s="6" t="s">
        <v>107</v>
      </c>
      <c r="D10" s="6" t="s">
        <v>99</v>
      </c>
      <c r="F10" s="16">
        <v>80</v>
      </c>
      <c r="G10" s="16">
        <v>420</v>
      </c>
    </row>
    <row r="11" spans="1:7" x14ac:dyDescent="0.25">
      <c r="A11" s="16">
        <v>6</v>
      </c>
      <c r="C11" s="6" t="s">
        <v>107</v>
      </c>
      <c r="D11" s="6" t="s">
        <v>100</v>
      </c>
      <c r="F11" s="16">
        <v>50</v>
      </c>
      <c r="G11" s="16">
        <v>260</v>
      </c>
    </row>
    <row r="12" spans="1:7" x14ac:dyDescent="0.25">
      <c r="A12" s="16">
        <v>7</v>
      </c>
      <c r="C12" s="6" t="s">
        <v>107</v>
      </c>
      <c r="D12" s="6" t="s">
        <v>101</v>
      </c>
      <c r="F12" s="16">
        <v>35</v>
      </c>
      <c r="G12" s="16" t="s">
        <v>624</v>
      </c>
    </row>
    <row r="13" spans="1:7" x14ac:dyDescent="0.25">
      <c r="A13" s="16">
        <v>8</v>
      </c>
      <c r="C13" s="6" t="s">
        <v>107</v>
      </c>
      <c r="D13" s="6" t="s">
        <v>102</v>
      </c>
      <c r="F13" s="16">
        <v>75</v>
      </c>
    </row>
    <row r="14" spans="1:7" x14ac:dyDescent="0.25">
      <c r="A14" s="16">
        <v>9</v>
      </c>
      <c r="C14" s="6" t="s">
        <v>107</v>
      </c>
      <c r="D14" s="6" t="s">
        <v>115</v>
      </c>
      <c r="F14" s="16">
        <v>35</v>
      </c>
      <c r="G14" s="16">
        <v>175</v>
      </c>
    </row>
    <row r="15" spans="1:7" x14ac:dyDescent="0.25">
      <c r="A15" s="16">
        <v>10</v>
      </c>
      <c r="C15" s="6" t="s">
        <v>107</v>
      </c>
      <c r="D15" s="6" t="s">
        <v>116</v>
      </c>
    </row>
    <row r="16" spans="1:7" x14ac:dyDescent="0.25">
      <c r="A16" s="16">
        <v>11</v>
      </c>
      <c r="C16" s="6" t="s">
        <v>108</v>
      </c>
      <c r="D16" s="6" t="s">
        <v>103</v>
      </c>
      <c r="F16" s="16">
        <v>120</v>
      </c>
      <c r="G16" s="16">
        <v>1250</v>
      </c>
    </row>
    <row r="17" spans="1:7" x14ac:dyDescent="0.25">
      <c r="A17" s="16">
        <v>12</v>
      </c>
      <c r="C17" s="6" t="s">
        <v>108</v>
      </c>
      <c r="D17" s="6" t="s">
        <v>349</v>
      </c>
      <c r="F17" s="16">
        <v>130</v>
      </c>
    </row>
    <row r="18" spans="1:7" x14ac:dyDescent="0.25">
      <c r="A18" s="16">
        <v>13</v>
      </c>
      <c r="C18" s="6" t="s">
        <v>106</v>
      </c>
      <c r="D18" s="6" t="s">
        <v>104</v>
      </c>
      <c r="F18" s="16">
        <v>120</v>
      </c>
      <c r="G18" s="16">
        <v>1400</v>
      </c>
    </row>
    <row r="19" spans="1:7" x14ac:dyDescent="0.25">
      <c r="A19" s="16">
        <v>14</v>
      </c>
      <c r="C19" s="6" t="s">
        <v>106</v>
      </c>
      <c r="D19" s="6" t="s">
        <v>105</v>
      </c>
      <c r="F19" s="16">
        <v>120</v>
      </c>
      <c r="G19" s="16">
        <v>1400</v>
      </c>
    </row>
    <row r="20" spans="1:7" x14ac:dyDescent="0.25">
      <c r="A20" s="16">
        <v>15</v>
      </c>
      <c r="C20" s="6" t="s">
        <v>108</v>
      </c>
      <c r="D20" s="6" t="s">
        <v>91</v>
      </c>
      <c r="F20" s="16">
        <v>85</v>
      </c>
      <c r="G20" s="16">
        <v>920</v>
      </c>
    </row>
    <row r="21" spans="1:7" x14ac:dyDescent="0.25">
      <c r="A21" s="16">
        <v>16</v>
      </c>
      <c r="C21" s="6" t="s">
        <v>108</v>
      </c>
      <c r="D21" s="6" t="s">
        <v>305</v>
      </c>
      <c r="E21" s="16">
        <v>12</v>
      </c>
      <c r="F21" s="16">
        <v>90</v>
      </c>
      <c r="G21" s="16">
        <v>980</v>
      </c>
    </row>
    <row r="22" spans="1:7" x14ac:dyDescent="0.25">
      <c r="A22" s="16">
        <v>17</v>
      </c>
      <c r="C22" s="6" t="s">
        <v>108</v>
      </c>
      <c r="D22" s="6" t="s">
        <v>348</v>
      </c>
      <c r="E22" s="16">
        <v>6</v>
      </c>
      <c r="F22" s="16">
        <v>145</v>
      </c>
      <c r="G22" s="16">
        <v>820</v>
      </c>
    </row>
    <row r="23" spans="1:7" x14ac:dyDescent="0.25">
      <c r="A23" s="16">
        <v>19</v>
      </c>
      <c r="C23" s="6" t="s">
        <v>109</v>
      </c>
      <c r="D23" s="6" t="s">
        <v>110</v>
      </c>
      <c r="F23" s="16">
        <v>55</v>
      </c>
      <c r="G23" s="16">
        <v>230</v>
      </c>
    </row>
    <row r="24" spans="1:7" x14ac:dyDescent="0.25">
      <c r="A24" s="16">
        <v>20</v>
      </c>
      <c r="C24" s="6" t="s">
        <v>109</v>
      </c>
      <c r="D24" s="6" t="s">
        <v>111</v>
      </c>
      <c r="F24" s="16">
        <v>23</v>
      </c>
      <c r="G24" s="16">
        <v>120</v>
      </c>
    </row>
    <row r="25" spans="1:7" x14ac:dyDescent="0.25">
      <c r="A25" s="16">
        <v>21</v>
      </c>
      <c r="C25" s="6" t="s">
        <v>109</v>
      </c>
      <c r="D25" s="6" t="s">
        <v>112</v>
      </c>
      <c r="F25" s="16">
        <v>23</v>
      </c>
      <c r="G25" s="16">
        <v>120</v>
      </c>
    </row>
    <row r="26" spans="1:7" x14ac:dyDescent="0.25">
      <c r="A26" s="16">
        <v>22</v>
      </c>
      <c r="C26" s="6" t="s">
        <v>109</v>
      </c>
      <c r="D26" s="6" t="s">
        <v>340</v>
      </c>
      <c r="F26" s="16">
        <v>30</v>
      </c>
      <c r="G26" s="16">
        <v>145</v>
      </c>
    </row>
    <row r="27" spans="1:7" x14ac:dyDescent="0.25">
      <c r="D27" s="6" t="s">
        <v>341</v>
      </c>
      <c r="F27" s="16">
        <v>30</v>
      </c>
      <c r="G27" s="16">
        <v>130</v>
      </c>
    </row>
    <row r="28" spans="1:7" x14ac:dyDescent="0.25">
      <c r="A28" s="16">
        <v>23</v>
      </c>
      <c r="C28" s="6" t="s">
        <v>109</v>
      </c>
      <c r="D28" s="6" t="s">
        <v>113</v>
      </c>
      <c r="F28" s="16">
        <v>23</v>
      </c>
      <c r="G28" s="16">
        <v>120</v>
      </c>
    </row>
    <row r="29" spans="1:7" x14ac:dyDescent="0.25">
      <c r="A29" s="16">
        <v>25</v>
      </c>
      <c r="C29" s="6" t="s">
        <v>320</v>
      </c>
      <c r="D29" s="6" t="s">
        <v>321</v>
      </c>
      <c r="E29" s="16">
        <v>12</v>
      </c>
      <c r="F29" s="16">
        <v>35</v>
      </c>
      <c r="G29" s="16">
        <v>390</v>
      </c>
    </row>
    <row r="30" spans="1:7" x14ac:dyDescent="0.25">
      <c r="A30" s="16">
        <v>26</v>
      </c>
      <c r="C30" s="6" t="s">
        <v>320</v>
      </c>
      <c r="D30" s="6" t="s">
        <v>322</v>
      </c>
      <c r="E30" s="16">
        <v>12</v>
      </c>
      <c r="F30" s="16">
        <v>20</v>
      </c>
      <c r="G30" s="16">
        <v>290</v>
      </c>
    </row>
    <row r="31" spans="1:7" x14ac:dyDescent="0.25">
      <c r="A31" s="16">
        <v>27</v>
      </c>
      <c r="D31" s="6" t="s">
        <v>326</v>
      </c>
      <c r="F31" s="16">
        <v>6</v>
      </c>
      <c r="G31" s="16">
        <v>50</v>
      </c>
    </row>
    <row r="32" spans="1:7" x14ac:dyDescent="0.25">
      <c r="A32" s="16">
        <v>28</v>
      </c>
      <c r="D32" s="6" t="s">
        <v>327</v>
      </c>
      <c r="F32" s="16">
        <v>12</v>
      </c>
      <c r="G32" s="16">
        <v>100</v>
      </c>
    </row>
    <row r="33" spans="1:7" x14ac:dyDescent="0.25">
      <c r="A33" s="16">
        <v>29</v>
      </c>
      <c r="D33" s="6" t="s">
        <v>233</v>
      </c>
      <c r="E33" s="16">
        <v>6</v>
      </c>
      <c r="F33" s="16">
        <v>35</v>
      </c>
    </row>
    <row r="34" spans="1:7" x14ac:dyDescent="0.25">
      <c r="A34" s="16">
        <v>30</v>
      </c>
      <c r="D34" s="6" t="s">
        <v>289</v>
      </c>
      <c r="F34" s="16">
        <v>100</v>
      </c>
    </row>
    <row r="35" spans="1:7" x14ac:dyDescent="0.25">
      <c r="A35" s="16">
        <v>31</v>
      </c>
      <c r="D35" s="6" t="s">
        <v>291</v>
      </c>
      <c r="F35" s="16">
        <v>350</v>
      </c>
    </row>
    <row r="36" spans="1:7" x14ac:dyDescent="0.25">
      <c r="A36" s="16">
        <v>32</v>
      </c>
      <c r="C36" s="6" t="s">
        <v>329</v>
      </c>
      <c r="D36" s="6" t="s">
        <v>310</v>
      </c>
      <c r="G36" s="16">
        <v>205</v>
      </c>
    </row>
    <row r="37" spans="1:7" x14ac:dyDescent="0.25">
      <c r="A37" s="16">
        <v>33</v>
      </c>
      <c r="C37" s="6" t="s">
        <v>329</v>
      </c>
      <c r="D37" s="6" t="s">
        <v>311</v>
      </c>
      <c r="F37" s="16">
        <v>120</v>
      </c>
      <c r="G37" s="16" t="s">
        <v>312</v>
      </c>
    </row>
    <row r="38" spans="1:7" x14ac:dyDescent="0.25">
      <c r="A38" s="16">
        <v>34</v>
      </c>
      <c r="C38" s="6" t="s">
        <v>329</v>
      </c>
      <c r="D38" s="6" t="s">
        <v>325</v>
      </c>
      <c r="G38" s="16" t="s">
        <v>539</v>
      </c>
    </row>
    <row r="39" spans="1:7" x14ac:dyDescent="0.25">
      <c r="A39" s="16">
        <v>35</v>
      </c>
      <c r="C39" s="6" t="s">
        <v>329</v>
      </c>
      <c r="D39" s="6" t="s">
        <v>328</v>
      </c>
      <c r="F39" s="16">
        <v>20</v>
      </c>
      <c r="G39" s="16">
        <v>260</v>
      </c>
    </row>
    <row r="40" spans="1:7" x14ac:dyDescent="0.25">
      <c r="A40" s="16">
        <v>36</v>
      </c>
      <c r="D40" s="6" t="s">
        <v>330</v>
      </c>
      <c r="E40" s="16">
        <v>12</v>
      </c>
      <c r="F40" s="16">
        <v>130</v>
      </c>
      <c r="G40" s="16">
        <v>1400</v>
      </c>
    </row>
    <row r="41" spans="1:7" x14ac:dyDescent="0.25">
      <c r="A41" s="16">
        <v>37</v>
      </c>
      <c r="D41" s="6" t="s">
        <v>331</v>
      </c>
      <c r="E41" s="16">
        <v>12</v>
      </c>
      <c r="F41" s="16">
        <v>300</v>
      </c>
      <c r="G41" s="16">
        <v>3200</v>
      </c>
    </row>
    <row r="42" spans="1:7" x14ac:dyDescent="0.25">
      <c r="A42" s="16">
        <v>38</v>
      </c>
      <c r="D42" s="6" t="s">
        <v>332</v>
      </c>
      <c r="E42" s="16">
        <v>12</v>
      </c>
      <c r="F42" s="16">
        <v>110</v>
      </c>
      <c r="G42" s="16">
        <v>1150</v>
      </c>
    </row>
    <row r="43" spans="1:7" x14ac:dyDescent="0.25">
      <c r="A43" s="16">
        <v>39</v>
      </c>
      <c r="D43" s="6" t="s">
        <v>333</v>
      </c>
      <c r="F43" s="16">
        <v>140</v>
      </c>
      <c r="G43" s="16">
        <v>1600</v>
      </c>
    </row>
    <row r="44" spans="1:7" x14ac:dyDescent="0.25">
      <c r="A44" s="16">
        <v>40</v>
      </c>
      <c r="D44" s="6" t="s">
        <v>334</v>
      </c>
      <c r="F44" s="16">
        <v>290</v>
      </c>
    </row>
    <row r="45" spans="1:7" x14ac:dyDescent="0.25">
      <c r="A45" s="16">
        <v>41</v>
      </c>
      <c r="D45" s="6" t="s">
        <v>335</v>
      </c>
      <c r="F45" s="16">
        <v>50</v>
      </c>
    </row>
    <row r="46" spans="1:7" x14ac:dyDescent="0.25">
      <c r="A46" s="16">
        <v>42</v>
      </c>
      <c r="D46" s="6" t="s">
        <v>336</v>
      </c>
      <c r="F46" s="16">
        <v>80</v>
      </c>
    </row>
    <row r="47" spans="1:7" x14ac:dyDescent="0.25">
      <c r="A47" s="16">
        <v>43</v>
      </c>
      <c r="D47" s="6" t="s">
        <v>337</v>
      </c>
      <c r="F47" s="16">
        <v>100</v>
      </c>
    </row>
    <row r="48" spans="1:7" x14ac:dyDescent="0.25">
      <c r="A48" s="16">
        <v>44</v>
      </c>
      <c r="D48" s="6" t="s">
        <v>338</v>
      </c>
      <c r="F48" s="16">
        <v>300</v>
      </c>
    </row>
    <row r="49" spans="1:9" x14ac:dyDescent="0.25">
      <c r="A49" s="16">
        <v>45</v>
      </c>
      <c r="D49" s="6" t="s">
        <v>339</v>
      </c>
      <c r="F49" s="16">
        <v>90</v>
      </c>
    </row>
    <row r="50" spans="1:9" x14ac:dyDescent="0.25">
      <c r="A50" s="16">
        <v>46</v>
      </c>
      <c r="D50" s="6" t="s">
        <v>342</v>
      </c>
      <c r="E50" s="16">
        <v>12</v>
      </c>
      <c r="F50" s="16">
        <v>10</v>
      </c>
      <c r="G50" s="16" t="s">
        <v>343</v>
      </c>
    </row>
    <row r="51" spans="1:9" x14ac:dyDescent="0.25">
      <c r="A51" s="16">
        <v>47</v>
      </c>
      <c r="D51" s="6" t="s">
        <v>344</v>
      </c>
      <c r="E51" s="16">
        <v>6</v>
      </c>
      <c r="F51" s="16">
        <v>45</v>
      </c>
      <c r="G51" s="16">
        <v>200</v>
      </c>
    </row>
    <row r="52" spans="1:9" x14ac:dyDescent="0.25">
      <c r="A52" s="16">
        <v>48</v>
      </c>
      <c r="D52" s="6" t="s">
        <v>345</v>
      </c>
      <c r="F52" s="16">
        <v>10</v>
      </c>
      <c r="G52" s="16">
        <v>230</v>
      </c>
    </row>
    <row r="53" spans="1:9" x14ac:dyDescent="0.25">
      <c r="A53" s="16">
        <v>49</v>
      </c>
      <c r="D53" s="6" t="s">
        <v>346</v>
      </c>
      <c r="F53" s="16">
        <v>100</v>
      </c>
    </row>
    <row r="54" spans="1:9" x14ac:dyDescent="0.25">
      <c r="A54" s="16">
        <v>50</v>
      </c>
      <c r="D54" s="6" t="s">
        <v>347</v>
      </c>
      <c r="F54" s="16">
        <v>180</v>
      </c>
      <c r="H54">
        <f>58*3</f>
        <v>174</v>
      </c>
      <c r="I54" s="33">
        <f>58*3</f>
        <v>174</v>
      </c>
    </row>
    <row r="55" spans="1:9" x14ac:dyDescent="0.25">
      <c r="A55" s="16">
        <v>51</v>
      </c>
      <c r="D55" s="6" t="s">
        <v>353</v>
      </c>
      <c r="F55" s="16">
        <v>9</v>
      </c>
      <c r="G55" s="16">
        <v>95</v>
      </c>
    </row>
    <row r="56" spans="1:9" x14ac:dyDescent="0.25">
      <c r="A56" s="16">
        <v>52</v>
      </c>
      <c r="D56" s="6" t="s">
        <v>417</v>
      </c>
      <c r="F56" s="16">
        <v>50</v>
      </c>
    </row>
    <row r="57" spans="1:9" x14ac:dyDescent="0.25">
      <c r="A57" s="16">
        <v>53</v>
      </c>
      <c r="D57" s="6" t="s">
        <v>429</v>
      </c>
      <c r="F57" s="16">
        <v>20</v>
      </c>
      <c r="G57" s="16">
        <v>100</v>
      </c>
    </row>
    <row r="58" spans="1:9" x14ac:dyDescent="0.25">
      <c r="A58" s="16">
        <v>54</v>
      </c>
      <c r="D58" s="6" t="s">
        <v>495</v>
      </c>
      <c r="F58" s="16">
        <v>120</v>
      </c>
      <c r="G58" s="16">
        <f>115*12</f>
        <v>1380</v>
      </c>
    </row>
    <row r="59" spans="1:9" x14ac:dyDescent="0.25">
      <c r="A59" s="16">
        <v>55</v>
      </c>
      <c r="D59" s="6" t="s">
        <v>417</v>
      </c>
      <c r="G59" s="16" t="s">
        <v>496</v>
      </c>
    </row>
    <row r="60" spans="1:9" x14ac:dyDescent="0.25">
      <c r="A60" s="16">
        <v>56</v>
      </c>
      <c r="D60" s="6" t="s">
        <v>549</v>
      </c>
      <c r="F60" s="16" t="s">
        <v>576</v>
      </c>
    </row>
    <row r="61" spans="1:9" x14ac:dyDescent="0.25">
      <c r="A61" s="16">
        <v>57</v>
      </c>
      <c r="D61" s="34">
        <v>51</v>
      </c>
      <c r="F61" s="16">
        <v>55</v>
      </c>
    </row>
    <row r="62" spans="1:9" x14ac:dyDescent="0.25">
      <c r="A62" s="16">
        <v>58</v>
      </c>
      <c r="D62" s="6" t="s">
        <v>613</v>
      </c>
      <c r="F62" s="16">
        <v>200</v>
      </c>
    </row>
    <row r="63" spans="1:9" x14ac:dyDescent="0.25">
      <c r="A63" s="16">
        <v>59</v>
      </c>
    </row>
    <row r="64" spans="1:9" x14ac:dyDescent="0.25">
      <c r="A64" s="16">
        <v>60</v>
      </c>
    </row>
    <row r="65" spans="1:1" x14ac:dyDescent="0.25">
      <c r="A65" s="16">
        <v>61</v>
      </c>
    </row>
    <row r="66" spans="1:1" x14ac:dyDescent="0.25">
      <c r="A66" s="16">
        <v>62</v>
      </c>
    </row>
    <row r="67" spans="1:1" x14ac:dyDescent="0.25">
      <c r="A67" s="16">
        <v>63</v>
      </c>
    </row>
    <row r="68" spans="1:1" x14ac:dyDescent="0.25">
      <c r="A68" s="16">
        <v>64</v>
      </c>
    </row>
    <row r="69" spans="1:1" x14ac:dyDescent="0.25">
      <c r="A69" s="16">
        <v>65</v>
      </c>
    </row>
    <row r="70" spans="1:1" x14ac:dyDescent="0.25">
      <c r="A70" s="16">
        <v>66</v>
      </c>
    </row>
    <row r="71" spans="1:1" x14ac:dyDescent="0.25">
      <c r="A71" s="16">
        <v>67</v>
      </c>
    </row>
    <row r="72" spans="1:1" x14ac:dyDescent="0.25">
      <c r="A72" s="16">
        <v>68</v>
      </c>
    </row>
    <row r="73" spans="1:1" x14ac:dyDescent="0.25">
      <c r="A73" s="16">
        <v>69</v>
      </c>
    </row>
    <row r="74" spans="1:1" x14ac:dyDescent="0.25">
      <c r="A74" s="16">
        <v>70</v>
      </c>
    </row>
    <row r="75" spans="1:1" x14ac:dyDescent="0.25">
      <c r="A75" s="16">
        <v>71</v>
      </c>
    </row>
    <row r="76" spans="1:1" x14ac:dyDescent="0.25">
      <c r="A76" s="16">
        <v>72</v>
      </c>
    </row>
    <row r="77" spans="1:1" x14ac:dyDescent="0.25">
      <c r="A77" s="16">
        <v>73</v>
      </c>
    </row>
    <row r="78" spans="1:1" x14ac:dyDescent="0.25">
      <c r="A78" s="16">
        <v>74</v>
      </c>
    </row>
    <row r="79" spans="1:1" x14ac:dyDescent="0.25">
      <c r="A79" s="16">
        <v>75</v>
      </c>
    </row>
    <row r="80" spans="1:1" x14ac:dyDescent="0.25">
      <c r="A80" s="16">
        <v>76</v>
      </c>
    </row>
    <row r="81" spans="1:1" x14ac:dyDescent="0.25">
      <c r="A81" s="16">
        <v>77</v>
      </c>
    </row>
    <row r="82" spans="1:1" x14ac:dyDescent="0.25">
      <c r="A82" s="16">
        <v>78</v>
      </c>
    </row>
    <row r="83" spans="1:1" x14ac:dyDescent="0.25">
      <c r="A83" s="16">
        <v>79</v>
      </c>
    </row>
    <row r="84" spans="1:1" x14ac:dyDescent="0.25">
      <c r="A84" s="16">
        <v>80</v>
      </c>
    </row>
    <row r="85" spans="1:1" x14ac:dyDescent="0.25">
      <c r="A85" s="16">
        <v>81</v>
      </c>
    </row>
    <row r="86" spans="1:1" x14ac:dyDescent="0.25">
      <c r="A86" s="16">
        <v>82</v>
      </c>
    </row>
    <row r="87" spans="1:1" x14ac:dyDescent="0.25">
      <c r="A87" s="16">
        <v>83</v>
      </c>
    </row>
    <row r="88" spans="1:1" x14ac:dyDescent="0.25">
      <c r="A88" s="16">
        <v>84</v>
      </c>
    </row>
    <row r="89" spans="1:1" x14ac:dyDescent="0.25">
      <c r="A89" s="16">
        <v>85</v>
      </c>
    </row>
    <row r="90" spans="1:1" x14ac:dyDescent="0.25">
      <c r="A90" s="16">
        <v>86</v>
      </c>
    </row>
    <row r="91" spans="1:1" x14ac:dyDescent="0.25">
      <c r="A91" s="16">
        <v>87</v>
      </c>
    </row>
    <row r="92" spans="1:1" x14ac:dyDescent="0.25">
      <c r="A92" s="16">
        <v>88</v>
      </c>
    </row>
    <row r="93" spans="1:1" x14ac:dyDescent="0.25">
      <c r="A93" s="16">
        <v>89</v>
      </c>
    </row>
    <row r="94" spans="1:1" x14ac:dyDescent="0.25">
      <c r="A94" s="16">
        <v>90</v>
      </c>
    </row>
    <row r="95" spans="1:1" x14ac:dyDescent="0.25">
      <c r="A95" s="16">
        <v>91</v>
      </c>
    </row>
    <row r="96" spans="1:1" x14ac:dyDescent="0.25">
      <c r="A96" s="16">
        <v>92</v>
      </c>
    </row>
    <row r="97" spans="1:1" x14ac:dyDescent="0.25">
      <c r="A97" s="16">
        <v>93</v>
      </c>
    </row>
    <row r="98" spans="1:1" x14ac:dyDescent="0.25">
      <c r="A98" s="16">
        <v>94</v>
      </c>
    </row>
    <row r="99" spans="1:1" x14ac:dyDescent="0.25">
      <c r="A99" s="16">
        <v>95</v>
      </c>
    </row>
    <row r="100" spans="1:1" x14ac:dyDescent="0.25">
      <c r="A100" s="16">
        <v>96</v>
      </c>
    </row>
    <row r="101" spans="1:1" x14ac:dyDescent="0.25">
      <c r="A101" s="16">
        <v>97</v>
      </c>
    </row>
    <row r="102" spans="1:1" x14ac:dyDescent="0.25">
      <c r="A102" s="16">
        <v>98</v>
      </c>
    </row>
    <row r="103" spans="1:1" x14ac:dyDescent="0.25">
      <c r="A103" s="16">
        <v>99</v>
      </c>
    </row>
    <row r="104" spans="1:1" x14ac:dyDescent="0.25">
      <c r="A104" s="16">
        <v>100</v>
      </c>
    </row>
    <row r="105" spans="1:1" x14ac:dyDescent="0.25">
      <c r="A105" s="16">
        <v>101</v>
      </c>
    </row>
    <row r="106" spans="1:1" x14ac:dyDescent="0.25">
      <c r="A106" s="16">
        <v>102</v>
      </c>
    </row>
    <row r="107" spans="1:1" x14ac:dyDescent="0.25">
      <c r="A107" s="16">
        <v>103</v>
      </c>
    </row>
    <row r="108" spans="1:1" x14ac:dyDescent="0.25">
      <c r="A108" s="16">
        <v>104</v>
      </c>
    </row>
    <row r="109" spans="1:1" x14ac:dyDescent="0.25">
      <c r="A109" s="16">
        <v>105</v>
      </c>
    </row>
    <row r="110" spans="1:1" x14ac:dyDescent="0.25">
      <c r="A110" s="16">
        <v>106</v>
      </c>
    </row>
    <row r="111" spans="1:1" x14ac:dyDescent="0.25">
      <c r="A111" s="16">
        <v>107</v>
      </c>
    </row>
    <row r="112" spans="1:1" x14ac:dyDescent="0.25">
      <c r="A112" s="16">
        <v>108</v>
      </c>
    </row>
    <row r="113" spans="1:1" x14ac:dyDescent="0.25">
      <c r="A113" s="16">
        <v>109</v>
      </c>
    </row>
  </sheetData>
  <mergeCells count="5">
    <mergeCell ref="A1:F2"/>
    <mergeCell ref="G1:G5"/>
    <mergeCell ref="A3:C3"/>
    <mergeCell ref="A4:C4"/>
    <mergeCell ref="A5:C5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5929B2-A735-4A7A-9578-AAA34C5C0BD4}">
  <dimension ref="A1:G104"/>
  <sheetViews>
    <sheetView showGridLines="0" zoomScale="157" zoomScaleNormal="150" workbookViewId="0">
      <pane xSplit="7" ySplit="6" topLeftCell="H25" activePane="bottomRight" state="frozen"/>
      <selection pane="topRight" activeCell="H1" sqref="H1"/>
      <selection pane="bottomLeft" activeCell="A7" sqref="A7"/>
      <selection pane="bottomRight" activeCell="D29" sqref="D29"/>
    </sheetView>
  </sheetViews>
  <sheetFormatPr baseColWidth="10" defaultRowHeight="15" x14ac:dyDescent="0.25"/>
  <cols>
    <col min="1" max="1" width="4.28515625" style="6" bestFit="1" customWidth="1"/>
    <col min="2" max="2" width="12" style="6" customWidth="1"/>
    <col min="3" max="3" width="17.140625" style="6" customWidth="1"/>
    <col min="4" max="4" width="33.7109375" style="6" customWidth="1"/>
    <col min="5" max="5" width="15" style="6" customWidth="1"/>
    <col min="6" max="6" width="14.42578125" style="16" customWidth="1"/>
    <col min="7" max="7" width="26" style="16" customWidth="1"/>
  </cols>
  <sheetData>
    <row r="1" spans="1:7" ht="15" customHeight="1" x14ac:dyDescent="0.25">
      <c r="A1" s="36" t="s">
        <v>8</v>
      </c>
      <c r="B1" s="37"/>
      <c r="C1" s="37"/>
      <c r="D1" s="37"/>
      <c r="E1" s="37"/>
      <c r="F1" s="37"/>
      <c r="G1" s="52"/>
    </row>
    <row r="2" spans="1:7" ht="39" customHeight="1" thickBot="1" x14ac:dyDescent="0.3">
      <c r="A2" s="39"/>
      <c r="B2" s="40"/>
      <c r="C2" s="40"/>
      <c r="D2" s="60"/>
      <c r="E2" s="60"/>
      <c r="F2" s="60"/>
      <c r="G2" s="53"/>
    </row>
    <row r="3" spans="1:7" ht="19.5" thickTop="1" thickBot="1" x14ac:dyDescent="0.3">
      <c r="A3" s="63" t="s">
        <v>24</v>
      </c>
      <c r="B3" s="64"/>
      <c r="C3" s="65"/>
      <c r="D3" s="7"/>
      <c r="E3" s="8"/>
      <c r="F3" s="17"/>
      <c r="G3" s="53"/>
    </row>
    <row r="4" spans="1:7" ht="15.75" thickTop="1" x14ac:dyDescent="0.25">
      <c r="A4" s="58"/>
      <c r="B4" s="58"/>
      <c r="C4" s="58"/>
      <c r="D4" s="3"/>
      <c r="E4" s="3"/>
      <c r="F4" s="3"/>
      <c r="G4" s="53"/>
    </row>
    <row r="5" spans="1:7" ht="15.75" thickBot="1" x14ac:dyDescent="0.3">
      <c r="A5" s="59" t="s">
        <v>6</v>
      </c>
      <c r="B5" s="59"/>
      <c r="C5" s="59"/>
      <c r="D5" s="10" t="s">
        <v>39</v>
      </c>
      <c r="E5" s="11" t="s">
        <v>23</v>
      </c>
      <c r="F5" s="14" t="s">
        <v>50</v>
      </c>
      <c r="G5" s="54"/>
    </row>
    <row r="6" spans="1:7" ht="27.75" customHeight="1" thickBot="1" x14ac:dyDescent="0.3">
      <c r="A6" s="12" t="s">
        <v>5</v>
      </c>
      <c r="B6" s="13" t="s">
        <v>0</v>
      </c>
      <c r="C6" s="13" t="s">
        <v>1</v>
      </c>
      <c r="D6" s="13" t="s">
        <v>2</v>
      </c>
      <c r="E6" s="13" t="s">
        <v>14</v>
      </c>
      <c r="F6" s="13" t="s">
        <v>3</v>
      </c>
      <c r="G6" s="15" t="s">
        <v>4</v>
      </c>
    </row>
    <row r="7" spans="1:7" s="29" customFormat="1" ht="12.75" x14ac:dyDescent="0.2">
      <c r="A7" s="21"/>
      <c r="B7" s="21"/>
      <c r="C7" s="21"/>
      <c r="D7" s="21" t="s">
        <v>136</v>
      </c>
      <c r="E7" s="21"/>
      <c r="F7" s="28">
        <v>35</v>
      </c>
      <c r="G7" s="28"/>
    </row>
    <row r="8" spans="1:7" s="29" customFormat="1" ht="12.75" x14ac:dyDescent="0.2">
      <c r="A8" s="21"/>
      <c r="B8" s="21"/>
      <c r="C8" s="21"/>
      <c r="D8" s="21" t="s">
        <v>137</v>
      </c>
      <c r="E8" s="21"/>
      <c r="F8" s="28"/>
      <c r="G8" s="28">
        <v>0</v>
      </c>
    </row>
    <row r="9" spans="1:7" s="29" customFormat="1" ht="12.75" x14ac:dyDescent="0.2">
      <c r="A9" s="21"/>
      <c r="B9" s="21"/>
      <c r="C9" s="21"/>
      <c r="D9" s="21" t="s">
        <v>138</v>
      </c>
      <c r="E9" s="21"/>
      <c r="F9" s="28"/>
      <c r="G9" s="28">
        <v>80</v>
      </c>
    </row>
    <row r="10" spans="1:7" s="29" customFormat="1" ht="12.75" x14ac:dyDescent="0.2">
      <c r="A10" s="21"/>
      <c r="B10" s="21"/>
      <c r="C10" s="21"/>
      <c r="D10" s="21" t="s">
        <v>139</v>
      </c>
      <c r="E10" s="21"/>
      <c r="F10" s="28"/>
      <c r="G10" s="28">
        <v>70</v>
      </c>
    </row>
    <row r="11" spans="1:7" s="29" customFormat="1" ht="12.75" x14ac:dyDescent="0.2">
      <c r="A11" s="21"/>
      <c r="B11" s="21"/>
      <c r="C11" s="21" t="s">
        <v>245</v>
      </c>
      <c r="D11" s="21" t="s">
        <v>244</v>
      </c>
      <c r="E11" s="21"/>
      <c r="F11" s="28">
        <v>10</v>
      </c>
      <c r="G11" s="28">
        <v>70</v>
      </c>
    </row>
    <row r="12" spans="1:7" s="29" customFormat="1" ht="12.75" x14ac:dyDescent="0.2">
      <c r="A12" s="21"/>
      <c r="B12" s="21"/>
      <c r="C12" s="21"/>
      <c r="D12" s="21" t="s">
        <v>247</v>
      </c>
      <c r="E12" s="21"/>
      <c r="F12" s="28"/>
      <c r="G12" s="28">
        <v>70</v>
      </c>
    </row>
    <row r="13" spans="1:7" s="29" customFormat="1" ht="12.75" x14ac:dyDescent="0.2">
      <c r="A13" s="21"/>
      <c r="B13" s="21"/>
      <c r="C13" s="21" t="s">
        <v>245</v>
      </c>
      <c r="D13" s="21" t="s">
        <v>246</v>
      </c>
      <c r="E13" s="21"/>
      <c r="F13" s="28"/>
      <c r="G13" s="28">
        <v>85</v>
      </c>
    </row>
    <row r="14" spans="1:7" s="29" customFormat="1" ht="12.75" x14ac:dyDescent="0.2">
      <c r="A14" s="21"/>
      <c r="B14" s="21"/>
      <c r="C14" s="21" t="s">
        <v>245</v>
      </c>
      <c r="D14" s="21" t="s">
        <v>248</v>
      </c>
      <c r="E14" s="21"/>
      <c r="F14" s="28"/>
      <c r="G14" s="28">
        <v>85</v>
      </c>
    </row>
    <row r="15" spans="1:7" s="29" customFormat="1" ht="12.75" x14ac:dyDescent="0.2">
      <c r="A15" s="21"/>
      <c r="B15" s="21"/>
      <c r="C15" s="21" t="s">
        <v>245</v>
      </c>
      <c r="D15" s="21" t="s">
        <v>249</v>
      </c>
      <c r="E15" s="21"/>
      <c r="F15" s="28"/>
      <c r="G15" s="28">
        <v>23</v>
      </c>
    </row>
    <row r="16" spans="1:7" s="29" customFormat="1" ht="12.75" x14ac:dyDescent="0.2">
      <c r="A16" s="21"/>
      <c r="B16" s="21"/>
      <c r="C16" s="21" t="s">
        <v>245</v>
      </c>
      <c r="D16" s="21" t="s">
        <v>250</v>
      </c>
      <c r="E16" s="21"/>
      <c r="F16" s="28"/>
      <c r="G16" s="28">
        <v>14</v>
      </c>
    </row>
    <row r="17" spans="1:7" s="29" customFormat="1" ht="12.75" x14ac:dyDescent="0.2">
      <c r="A17" s="21"/>
      <c r="B17" s="21"/>
      <c r="C17" s="21"/>
      <c r="D17" s="21"/>
      <c r="E17" s="21"/>
      <c r="F17" s="28">
        <f>35+36+50</f>
        <v>121</v>
      </c>
      <c r="G17" s="28"/>
    </row>
    <row r="18" spans="1:7" s="29" customFormat="1" ht="12.75" x14ac:dyDescent="0.2">
      <c r="A18" s="21"/>
      <c r="B18" s="21"/>
      <c r="C18" s="21"/>
      <c r="D18" s="21" t="s">
        <v>301</v>
      </c>
      <c r="E18" s="21"/>
      <c r="F18" s="28">
        <v>20</v>
      </c>
      <c r="G18" s="28"/>
    </row>
    <row r="19" spans="1:7" s="29" customFormat="1" ht="12.75" x14ac:dyDescent="0.2">
      <c r="A19" s="21"/>
      <c r="B19" s="21"/>
      <c r="C19" s="21"/>
      <c r="D19" s="21" t="s">
        <v>428</v>
      </c>
      <c r="E19" s="21"/>
      <c r="F19" s="28"/>
      <c r="G19" s="28">
        <v>70</v>
      </c>
    </row>
    <row r="20" spans="1:7" s="29" customFormat="1" ht="12.75" x14ac:dyDescent="0.2">
      <c r="A20" s="21"/>
      <c r="B20" s="21"/>
      <c r="C20" s="21"/>
      <c r="D20" s="21" t="s">
        <v>363</v>
      </c>
      <c r="E20" s="21"/>
      <c r="F20" s="28"/>
      <c r="G20" s="28">
        <v>80</v>
      </c>
    </row>
    <row r="21" spans="1:7" s="29" customFormat="1" ht="12.75" x14ac:dyDescent="0.2">
      <c r="A21" s="21"/>
      <c r="B21" s="21"/>
      <c r="C21" s="21"/>
      <c r="D21" s="21" t="s">
        <v>369</v>
      </c>
      <c r="E21" s="21">
        <f>125/10</f>
        <v>12.5</v>
      </c>
      <c r="F21" s="28">
        <v>15</v>
      </c>
      <c r="G21" s="28">
        <v>125</v>
      </c>
    </row>
    <row r="22" spans="1:7" s="29" customFormat="1" ht="12.75" x14ac:dyDescent="0.2">
      <c r="A22" s="21"/>
      <c r="B22" s="21"/>
      <c r="C22" s="21"/>
      <c r="D22" s="21" t="s">
        <v>427</v>
      </c>
      <c r="E22" s="21"/>
      <c r="F22" s="28"/>
      <c r="G22" s="28">
        <v>160</v>
      </c>
    </row>
    <row r="23" spans="1:7" s="29" customFormat="1" ht="12.75" x14ac:dyDescent="0.2">
      <c r="A23" s="21"/>
      <c r="B23" s="21"/>
      <c r="C23" s="21" t="s">
        <v>443</v>
      </c>
      <c r="D23" s="21" t="s">
        <v>442</v>
      </c>
      <c r="E23" s="21"/>
      <c r="F23" s="28"/>
      <c r="G23" s="28">
        <v>465</v>
      </c>
    </row>
    <row r="24" spans="1:7" s="29" customFormat="1" ht="12.75" x14ac:dyDescent="0.2">
      <c r="A24" s="21"/>
      <c r="B24" s="21"/>
      <c r="C24" s="21" t="s">
        <v>443</v>
      </c>
      <c r="D24" s="21" t="s">
        <v>444</v>
      </c>
      <c r="E24" s="21"/>
      <c r="F24" s="28"/>
      <c r="G24" s="28"/>
    </row>
    <row r="25" spans="1:7" s="29" customFormat="1" ht="12.75" x14ac:dyDescent="0.2">
      <c r="A25" s="21"/>
      <c r="B25" s="21"/>
      <c r="C25" s="21"/>
      <c r="D25" s="21" t="s">
        <v>534</v>
      </c>
      <c r="E25" s="21"/>
      <c r="F25" s="28"/>
      <c r="G25" s="28">
        <v>330</v>
      </c>
    </row>
    <row r="26" spans="1:7" s="29" customFormat="1" ht="12.75" x14ac:dyDescent="0.2">
      <c r="A26" s="21"/>
      <c r="B26" s="21"/>
      <c r="C26" s="21"/>
      <c r="D26" s="21" t="s">
        <v>552</v>
      </c>
      <c r="E26" s="21"/>
      <c r="F26" s="28"/>
      <c r="G26" s="28"/>
    </row>
    <row r="27" spans="1:7" s="29" customFormat="1" ht="12.75" x14ac:dyDescent="0.2">
      <c r="A27" s="21"/>
      <c r="B27" s="21"/>
      <c r="C27" s="21"/>
      <c r="D27" s="21" t="s">
        <v>582</v>
      </c>
      <c r="E27" s="21"/>
      <c r="F27" s="28"/>
      <c r="G27" s="28">
        <v>140</v>
      </c>
    </row>
    <row r="28" spans="1:7" s="29" customFormat="1" ht="12.75" x14ac:dyDescent="0.2">
      <c r="A28" s="21"/>
      <c r="B28" s="21"/>
      <c r="C28" s="21"/>
      <c r="D28" s="21" t="s">
        <v>603</v>
      </c>
      <c r="E28" s="21"/>
      <c r="F28" s="28"/>
      <c r="G28" s="28">
        <v>200</v>
      </c>
    </row>
    <row r="29" spans="1:7" s="29" customFormat="1" ht="12.75" x14ac:dyDescent="0.2">
      <c r="A29" s="21"/>
      <c r="B29" s="21"/>
      <c r="C29" s="21"/>
      <c r="D29" s="21" t="s">
        <v>626</v>
      </c>
      <c r="E29" s="21"/>
      <c r="F29" s="28"/>
      <c r="G29" s="28">
        <v>70</v>
      </c>
    </row>
    <row r="30" spans="1:7" s="29" customFormat="1" ht="12.75" x14ac:dyDescent="0.2">
      <c r="A30" s="21"/>
      <c r="B30" s="21"/>
      <c r="C30" s="21"/>
      <c r="D30" s="21"/>
      <c r="E30" s="21"/>
      <c r="F30" s="28"/>
      <c r="G30" s="28"/>
    </row>
    <row r="31" spans="1:7" s="29" customFormat="1" ht="12.75" x14ac:dyDescent="0.2">
      <c r="A31" s="21"/>
      <c r="B31" s="21"/>
      <c r="C31" s="21"/>
      <c r="D31" s="21"/>
      <c r="E31" s="21"/>
      <c r="F31" s="28"/>
      <c r="G31" s="28"/>
    </row>
    <row r="32" spans="1:7" s="29" customFormat="1" ht="12.75" x14ac:dyDescent="0.2">
      <c r="A32" s="21"/>
      <c r="B32" s="21"/>
      <c r="C32" s="21"/>
      <c r="D32" s="21"/>
      <c r="E32" s="21"/>
      <c r="F32" s="28"/>
      <c r="G32" s="28"/>
    </row>
    <row r="33" spans="1:7" s="29" customFormat="1" ht="12.75" x14ac:dyDescent="0.2">
      <c r="A33" s="21"/>
      <c r="B33" s="21"/>
      <c r="C33" s="21"/>
      <c r="D33" s="21"/>
      <c r="E33" s="21"/>
      <c r="F33" s="28"/>
      <c r="G33" s="28"/>
    </row>
    <row r="34" spans="1:7" s="29" customFormat="1" ht="12.75" x14ac:dyDescent="0.2">
      <c r="A34" s="21"/>
      <c r="B34" s="21"/>
      <c r="C34" s="21"/>
      <c r="D34" s="21"/>
      <c r="E34" s="21"/>
      <c r="F34" s="28"/>
      <c r="G34" s="28"/>
    </row>
    <row r="35" spans="1:7" s="29" customFormat="1" ht="12.75" x14ac:dyDescent="0.2">
      <c r="A35" s="21"/>
      <c r="B35" s="21"/>
      <c r="C35" s="21"/>
      <c r="D35" s="21"/>
      <c r="E35" s="21"/>
      <c r="F35" s="28"/>
      <c r="G35" s="28"/>
    </row>
    <row r="36" spans="1:7" s="29" customFormat="1" ht="12.75" x14ac:dyDescent="0.2">
      <c r="A36" s="21"/>
      <c r="B36" s="21"/>
      <c r="C36" s="21"/>
      <c r="D36" s="21"/>
      <c r="E36" s="21"/>
      <c r="F36" s="28"/>
      <c r="G36" s="28"/>
    </row>
    <row r="37" spans="1:7" s="29" customFormat="1" ht="12.75" x14ac:dyDescent="0.2">
      <c r="A37" s="21"/>
      <c r="B37" s="21"/>
      <c r="C37" s="21"/>
      <c r="D37" s="21"/>
      <c r="E37" s="21"/>
      <c r="F37" s="28"/>
      <c r="G37" s="28"/>
    </row>
    <row r="38" spans="1:7" s="29" customFormat="1" ht="12.75" x14ac:dyDescent="0.2">
      <c r="A38" s="21"/>
      <c r="B38" s="21"/>
      <c r="C38" s="21"/>
      <c r="D38" s="21"/>
      <c r="E38" s="21"/>
      <c r="F38" s="28"/>
      <c r="G38" s="28"/>
    </row>
    <row r="39" spans="1:7" s="29" customFormat="1" ht="12.75" x14ac:dyDescent="0.2">
      <c r="A39" s="21"/>
      <c r="B39" s="21"/>
      <c r="C39" s="21"/>
      <c r="D39" s="21"/>
      <c r="E39" s="21"/>
      <c r="F39" s="28"/>
      <c r="G39" s="28"/>
    </row>
    <row r="40" spans="1:7" s="29" customFormat="1" ht="12.75" x14ac:dyDescent="0.2">
      <c r="A40" s="21"/>
      <c r="B40" s="21"/>
      <c r="C40" s="21"/>
      <c r="D40" s="21"/>
      <c r="E40" s="21"/>
      <c r="F40" s="28"/>
      <c r="G40" s="28"/>
    </row>
    <row r="41" spans="1:7" s="29" customFormat="1" ht="12.75" x14ac:dyDescent="0.2">
      <c r="A41" s="21"/>
      <c r="B41" s="21"/>
      <c r="C41" s="21"/>
      <c r="D41" s="21"/>
      <c r="E41" s="21"/>
      <c r="F41" s="28"/>
      <c r="G41" s="28"/>
    </row>
    <row r="42" spans="1:7" s="29" customFormat="1" ht="12.75" x14ac:dyDescent="0.2">
      <c r="A42" s="21"/>
      <c r="B42" s="21"/>
      <c r="C42" s="21"/>
      <c r="D42" s="21"/>
      <c r="E42" s="21"/>
      <c r="F42" s="28"/>
      <c r="G42" s="28"/>
    </row>
    <row r="43" spans="1:7" s="29" customFormat="1" ht="12.75" x14ac:dyDescent="0.2">
      <c r="A43" s="21"/>
      <c r="B43" s="21"/>
      <c r="C43" s="21"/>
      <c r="D43" s="21"/>
      <c r="E43" s="21"/>
      <c r="F43" s="28"/>
      <c r="G43" s="28"/>
    </row>
    <row r="44" spans="1:7" s="29" customFormat="1" ht="12.75" x14ac:dyDescent="0.2">
      <c r="A44" s="21"/>
      <c r="B44" s="21"/>
      <c r="C44" s="21"/>
      <c r="D44" s="21"/>
      <c r="E44" s="21"/>
      <c r="F44" s="28"/>
      <c r="G44" s="28"/>
    </row>
    <row r="45" spans="1:7" s="29" customFormat="1" ht="12.75" x14ac:dyDescent="0.2">
      <c r="A45" s="21"/>
      <c r="B45" s="21"/>
      <c r="C45" s="21"/>
      <c r="D45" s="21"/>
      <c r="E45" s="21"/>
      <c r="F45" s="28"/>
      <c r="G45" s="28"/>
    </row>
    <row r="46" spans="1:7" s="29" customFormat="1" ht="12.75" x14ac:dyDescent="0.2">
      <c r="A46" s="21"/>
      <c r="B46" s="21"/>
      <c r="C46" s="21"/>
      <c r="D46" s="21"/>
      <c r="E46" s="21"/>
      <c r="F46" s="28"/>
      <c r="G46" s="28"/>
    </row>
    <row r="47" spans="1:7" s="29" customFormat="1" ht="12.75" x14ac:dyDescent="0.2">
      <c r="A47" s="21"/>
      <c r="B47" s="21"/>
      <c r="C47" s="21"/>
      <c r="D47" s="21"/>
      <c r="E47" s="21"/>
      <c r="F47" s="28"/>
      <c r="G47" s="28"/>
    </row>
    <row r="48" spans="1:7" s="29" customFormat="1" ht="12.75" x14ac:dyDescent="0.2">
      <c r="A48" s="21"/>
      <c r="B48" s="21"/>
      <c r="C48" s="21"/>
      <c r="D48" s="21"/>
      <c r="E48" s="21"/>
      <c r="F48" s="28"/>
      <c r="G48" s="28"/>
    </row>
    <row r="49" spans="1:7" s="29" customFormat="1" ht="12.75" x14ac:dyDescent="0.2">
      <c r="A49" s="21"/>
      <c r="B49" s="21"/>
      <c r="C49" s="21"/>
      <c r="D49" s="21"/>
      <c r="E49" s="21"/>
      <c r="F49" s="28"/>
      <c r="G49" s="28"/>
    </row>
    <row r="50" spans="1:7" s="29" customFormat="1" ht="12.75" x14ac:dyDescent="0.2">
      <c r="A50" s="21"/>
      <c r="B50" s="21"/>
      <c r="C50" s="21"/>
      <c r="D50" s="21"/>
      <c r="E50" s="21"/>
      <c r="F50" s="28"/>
      <c r="G50" s="28"/>
    </row>
    <row r="51" spans="1:7" s="29" customFormat="1" ht="12.75" x14ac:dyDescent="0.2">
      <c r="A51" s="21"/>
      <c r="B51" s="21"/>
      <c r="C51" s="21"/>
      <c r="D51" s="21"/>
      <c r="E51" s="21"/>
      <c r="F51" s="28"/>
      <c r="G51" s="28"/>
    </row>
    <row r="52" spans="1:7" s="29" customFormat="1" ht="12.75" x14ac:dyDescent="0.2">
      <c r="A52" s="21"/>
      <c r="B52" s="21"/>
      <c r="C52" s="21"/>
      <c r="D52" s="21"/>
      <c r="E52" s="21"/>
      <c r="F52" s="28"/>
      <c r="G52" s="28"/>
    </row>
    <row r="53" spans="1:7" s="29" customFormat="1" ht="12.75" x14ac:dyDescent="0.2">
      <c r="A53" s="21"/>
      <c r="B53" s="21"/>
      <c r="C53" s="21"/>
      <c r="D53" s="21"/>
      <c r="E53" s="21"/>
      <c r="F53" s="28"/>
      <c r="G53" s="28"/>
    </row>
    <row r="54" spans="1:7" s="29" customFormat="1" ht="12.75" x14ac:dyDescent="0.2">
      <c r="A54" s="21"/>
      <c r="B54" s="21"/>
      <c r="C54" s="21"/>
      <c r="D54" s="21"/>
      <c r="E54" s="21"/>
      <c r="F54" s="28"/>
      <c r="G54" s="28"/>
    </row>
    <row r="55" spans="1:7" s="29" customFormat="1" ht="12.75" x14ac:dyDescent="0.2">
      <c r="A55" s="21"/>
      <c r="B55" s="21"/>
      <c r="C55" s="21"/>
      <c r="D55" s="21"/>
      <c r="E55" s="21"/>
      <c r="F55" s="28"/>
      <c r="G55" s="28"/>
    </row>
    <row r="56" spans="1:7" s="29" customFormat="1" ht="12.75" x14ac:dyDescent="0.2">
      <c r="A56" s="21"/>
      <c r="B56" s="21"/>
      <c r="C56" s="21"/>
      <c r="D56" s="21"/>
      <c r="E56" s="21"/>
      <c r="F56" s="28"/>
      <c r="G56" s="28"/>
    </row>
    <row r="57" spans="1:7" s="29" customFormat="1" ht="12.75" x14ac:dyDescent="0.2">
      <c r="A57" s="21"/>
      <c r="B57" s="21"/>
      <c r="C57" s="21"/>
      <c r="D57" s="21"/>
      <c r="E57" s="21"/>
      <c r="F57" s="28"/>
      <c r="G57" s="28"/>
    </row>
    <row r="58" spans="1:7" s="29" customFormat="1" ht="12.75" x14ac:dyDescent="0.2">
      <c r="A58" s="21"/>
      <c r="B58" s="21"/>
      <c r="C58" s="21"/>
      <c r="D58" s="21"/>
      <c r="E58" s="21"/>
      <c r="F58" s="28"/>
      <c r="G58" s="28"/>
    </row>
    <row r="59" spans="1:7" s="29" customFormat="1" ht="12.75" x14ac:dyDescent="0.2">
      <c r="A59" s="21"/>
      <c r="B59" s="21"/>
      <c r="C59" s="21"/>
      <c r="D59" s="21"/>
      <c r="E59" s="21"/>
      <c r="F59" s="28"/>
      <c r="G59" s="28"/>
    </row>
    <row r="60" spans="1:7" s="29" customFormat="1" ht="12.75" x14ac:dyDescent="0.2">
      <c r="A60" s="21"/>
      <c r="B60" s="21"/>
      <c r="C60" s="21"/>
      <c r="D60" s="21"/>
      <c r="E60" s="21"/>
      <c r="F60" s="28"/>
      <c r="G60" s="28"/>
    </row>
    <row r="61" spans="1:7" s="29" customFormat="1" ht="12.75" x14ac:dyDescent="0.2">
      <c r="A61" s="21"/>
      <c r="B61" s="21"/>
      <c r="C61" s="21"/>
      <c r="D61" s="21"/>
      <c r="E61" s="21"/>
      <c r="F61" s="28"/>
      <c r="G61" s="28"/>
    </row>
    <row r="62" spans="1:7" s="29" customFormat="1" ht="12.75" x14ac:dyDescent="0.2">
      <c r="A62" s="21"/>
      <c r="B62" s="21"/>
      <c r="C62" s="21"/>
      <c r="D62" s="21"/>
      <c r="E62" s="21"/>
      <c r="F62" s="28"/>
      <c r="G62" s="28"/>
    </row>
    <row r="63" spans="1:7" s="29" customFormat="1" ht="12.75" x14ac:dyDescent="0.2">
      <c r="A63" s="21"/>
      <c r="B63" s="21"/>
      <c r="C63" s="21"/>
      <c r="D63" s="21"/>
      <c r="E63" s="21"/>
      <c r="F63" s="28"/>
      <c r="G63" s="28"/>
    </row>
    <row r="64" spans="1:7" s="29" customFormat="1" ht="12.75" x14ac:dyDescent="0.2">
      <c r="A64" s="21"/>
      <c r="B64" s="21"/>
      <c r="C64" s="21"/>
      <c r="D64" s="21"/>
      <c r="E64" s="21"/>
      <c r="F64" s="28"/>
      <c r="G64" s="28"/>
    </row>
    <row r="65" spans="1:7" s="29" customFormat="1" ht="12.75" x14ac:dyDescent="0.2">
      <c r="A65" s="21"/>
      <c r="B65" s="21"/>
      <c r="C65" s="21"/>
      <c r="D65" s="21"/>
      <c r="E65" s="21"/>
      <c r="F65" s="28"/>
      <c r="G65" s="28"/>
    </row>
    <row r="66" spans="1:7" s="29" customFormat="1" ht="12.75" x14ac:dyDescent="0.2">
      <c r="A66" s="21"/>
      <c r="B66" s="21"/>
      <c r="C66" s="21"/>
      <c r="D66" s="21"/>
      <c r="E66" s="21"/>
      <c r="F66" s="28"/>
      <c r="G66" s="28"/>
    </row>
    <row r="67" spans="1:7" s="29" customFormat="1" ht="12.75" x14ac:dyDescent="0.2">
      <c r="A67" s="21"/>
      <c r="B67" s="21"/>
      <c r="C67" s="21"/>
      <c r="D67" s="21"/>
      <c r="E67" s="21"/>
      <c r="F67" s="28"/>
      <c r="G67" s="28"/>
    </row>
    <row r="68" spans="1:7" s="29" customFormat="1" ht="12.75" x14ac:dyDescent="0.2">
      <c r="A68" s="21"/>
      <c r="B68" s="21"/>
      <c r="C68" s="21"/>
      <c r="D68" s="21"/>
      <c r="E68" s="21"/>
      <c r="F68" s="28"/>
      <c r="G68" s="28"/>
    </row>
    <row r="69" spans="1:7" s="29" customFormat="1" ht="12.75" x14ac:dyDescent="0.2">
      <c r="A69" s="21"/>
      <c r="B69" s="21"/>
      <c r="C69" s="21"/>
      <c r="D69" s="21"/>
      <c r="E69" s="21"/>
      <c r="F69" s="28"/>
      <c r="G69" s="28"/>
    </row>
    <row r="70" spans="1:7" s="29" customFormat="1" ht="12.75" x14ac:dyDescent="0.2">
      <c r="A70" s="21"/>
      <c r="B70" s="21"/>
      <c r="C70" s="21"/>
      <c r="D70" s="21"/>
      <c r="E70" s="21"/>
      <c r="F70" s="28"/>
      <c r="G70" s="28"/>
    </row>
    <row r="71" spans="1:7" s="29" customFormat="1" ht="12.75" x14ac:dyDescent="0.2">
      <c r="A71" s="21"/>
      <c r="B71" s="21"/>
      <c r="C71" s="21"/>
      <c r="D71" s="21"/>
      <c r="E71" s="21"/>
      <c r="F71" s="28"/>
      <c r="G71" s="28"/>
    </row>
    <row r="72" spans="1:7" s="29" customFormat="1" ht="12.75" x14ac:dyDescent="0.2">
      <c r="A72" s="21"/>
      <c r="B72" s="21"/>
      <c r="C72" s="21"/>
      <c r="D72" s="21"/>
      <c r="E72" s="21"/>
      <c r="F72" s="28"/>
      <c r="G72" s="28"/>
    </row>
    <row r="73" spans="1:7" s="29" customFormat="1" ht="12.75" x14ac:dyDescent="0.2">
      <c r="A73" s="21"/>
      <c r="B73" s="21"/>
      <c r="C73" s="21"/>
      <c r="D73" s="21"/>
      <c r="E73" s="21"/>
      <c r="F73" s="28"/>
      <c r="G73" s="28"/>
    </row>
    <row r="74" spans="1:7" s="29" customFormat="1" ht="12.75" x14ac:dyDescent="0.2">
      <c r="A74" s="21"/>
      <c r="B74" s="21"/>
      <c r="C74" s="21"/>
      <c r="D74" s="21"/>
      <c r="E74" s="21"/>
      <c r="F74" s="28"/>
      <c r="G74" s="28"/>
    </row>
    <row r="75" spans="1:7" s="29" customFormat="1" ht="12.75" x14ac:dyDescent="0.2">
      <c r="A75" s="21"/>
      <c r="B75" s="21"/>
      <c r="C75" s="21"/>
      <c r="D75" s="21"/>
      <c r="E75" s="21"/>
      <c r="F75" s="28"/>
      <c r="G75" s="28"/>
    </row>
    <row r="76" spans="1:7" s="29" customFormat="1" ht="12.75" x14ac:dyDescent="0.2">
      <c r="A76" s="21"/>
      <c r="B76" s="21"/>
      <c r="C76" s="21"/>
      <c r="D76" s="21"/>
      <c r="E76" s="21"/>
      <c r="F76" s="28"/>
      <c r="G76" s="28"/>
    </row>
    <row r="77" spans="1:7" s="29" customFormat="1" ht="12.75" x14ac:dyDescent="0.2">
      <c r="A77" s="21"/>
      <c r="B77" s="21"/>
      <c r="C77" s="21"/>
      <c r="D77" s="21"/>
      <c r="E77" s="21"/>
      <c r="F77" s="28"/>
      <c r="G77" s="28"/>
    </row>
    <row r="78" spans="1:7" s="29" customFormat="1" ht="12.75" x14ac:dyDescent="0.2">
      <c r="A78" s="21"/>
      <c r="B78" s="21"/>
      <c r="C78" s="21"/>
      <c r="D78" s="21"/>
      <c r="E78" s="21"/>
      <c r="F78" s="28"/>
      <c r="G78" s="28"/>
    </row>
    <row r="79" spans="1:7" s="29" customFormat="1" ht="12.75" x14ac:dyDescent="0.2">
      <c r="A79" s="21"/>
      <c r="B79" s="21"/>
      <c r="C79" s="21"/>
      <c r="D79" s="21"/>
      <c r="E79" s="21"/>
      <c r="F79" s="28"/>
      <c r="G79" s="28"/>
    </row>
    <row r="80" spans="1:7" s="29" customFormat="1" ht="12.75" x14ac:dyDescent="0.2">
      <c r="A80" s="21"/>
      <c r="B80" s="21"/>
      <c r="C80" s="21"/>
      <c r="D80" s="21"/>
      <c r="E80" s="21"/>
      <c r="F80" s="28"/>
      <c r="G80" s="28"/>
    </row>
    <row r="81" spans="1:7" s="29" customFormat="1" ht="12.75" x14ac:dyDescent="0.2">
      <c r="A81" s="21"/>
      <c r="B81" s="21"/>
      <c r="C81" s="21"/>
      <c r="D81" s="21"/>
      <c r="E81" s="21"/>
      <c r="F81" s="28"/>
      <c r="G81" s="28"/>
    </row>
    <row r="82" spans="1:7" s="29" customFormat="1" ht="12.75" x14ac:dyDescent="0.2">
      <c r="A82" s="21"/>
      <c r="B82" s="21"/>
      <c r="C82" s="21"/>
      <c r="D82" s="21"/>
      <c r="E82" s="21"/>
      <c r="F82" s="28"/>
      <c r="G82" s="28"/>
    </row>
    <row r="83" spans="1:7" s="29" customFormat="1" ht="12.75" x14ac:dyDescent="0.2">
      <c r="A83" s="21"/>
      <c r="B83" s="21"/>
      <c r="C83" s="21"/>
      <c r="D83" s="21"/>
      <c r="E83" s="21"/>
      <c r="F83" s="28"/>
      <c r="G83" s="28"/>
    </row>
    <row r="84" spans="1:7" s="29" customFormat="1" ht="12.75" x14ac:dyDescent="0.2">
      <c r="A84" s="21"/>
      <c r="B84" s="21"/>
      <c r="C84" s="21"/>
      <c r="D84" s="21"/>
      <c r="E84" s="21"/>
      <c r="F84" s="28"/>
      <c r="G84" s="28"/>
    </row>
    <row r="85" spans="1:7" s="29" customFormat="1" ht="12.75" x14ac:dyDescent="0.2">
      <c r="A85" s="21"/>
      <c r="B85" s="21"/>
      <c r="C85" s="21"/>
      <c r="D85" s="21"/>
      <c r="E85" s="21"/>
      <c r="F85" s="28"/>
      <c r="G85" s="28"/>
    </row>
    <row r="86" spans="1:7" s="29" customFormat="1" ht="12.75" x14ac:dyDescent="0.2">
      <c r="A86" s="21"/>
      <c r="B86" s="21"/>
      <c r="C86" s="21"/>
      <c r="D86" s="21"/>
      <c r="E86" s="21"/>
      <c r="F86" s="28"/>
      <c r="G86" s="28"/>
    </row>
    <row r="87" spans="1:7" s="29" customFormat="1" ht="12.75" x14ac:dyDescent="0.2">
      <c r="A87" s="21"/>
      <c r="B87" s="21"/>
      <c r="C87" s="21"/>
      <c r="D87" s="21"/>
      <c r="E87" s="21"/>
      <c r="F87" s="28"/>
      <c r="G87" s="28"/>
    </row>
    <row r="88" spans="1:7" s="29" customFormat="1" ht="12.75" x14ac:dyDescent="0.2">
      <c r="A88" s="21"/>
      <c r="B88" s="21"/>
      <c r="C88" s="21"/>
      <c r="D88" s="21"/>
      <c r="E88" s="21"/>
      <c r="F88" s="28"/>
      <c r="G88" s="28"/>
    </row>
    <row r="89" spans="1:7" s="29" customFormat="1" ht="12.75" x14ac:dyDescent="0.2">
      <c r="A89" s="21"/>
      <c r="B89" s="21"/>
      <c r="C89" s="21"/>
      <c r="D89" s="21"/>
      <c r="E89" s="21"/>
      <c r="F89" s="28"/>
      <c r="G89" s="28"/>
    </row>
    <row r="90" spans="1:7" s="29" customFormat="1" ht="12.75" x14ac:dyDescent="0.2">
      <c r="A90" s="21"/>
      <c r="B90" s="21"/>
      <c r="C90" s="21"/>
      <c r="D90" s="21"/>
      <c r="E90" s="21"/>
      <c r="F90" s="28"/>
      <c r="G90" s="28"/>
    </row>
    <row r="91" spans="1:7" s="29" customFormat="1" ht="12.75" x14ac:dyDescent="0.2">
      <c r="A91" s="21"/>
      <c r="B91" s="21"/>
      <c r="C91" s="21"/>
      <c r="D91" s="21"/>
      <c r="E91" s="21"/>
      <c r="F91" s="28"/>
      <c r="G91" s="28"/>
    </row>
    <row r="92" spans="1:7" s="29" customFormat="1" ht="12.75" x14ac:dyDescent="0.2">
      <c r="A92" s="21"/>
      <c r="B92" s="21"/>
      <c r="C92" s="21"/>
      <c r="D92" s="21"/>
      <c r="E92" s="21"/>
      <c r="F92" s="28"/>
      <c r="G92" s="28"/>
    </row>
    <row r="93" spans="1:7" s="29" customFormat="1" ht="12.75" x14ac:dyDescent="0.2">
      <c r="A93" s="21"/>
      <c r="B93" s="21"/>
      <c r="C93" s="21"/>
      <c r="D93" s="21"/>
      <c r="E93" s="21"/>
      <c r="F93" s="28"/>
      <c r="G93" s="28"/>
    </row>
    <row r="94" spans="1:7" s="29" customFormat="1" ht="12.75" x14ac:dyDescent="0.2">
      <c r="A94" s="21"/>
      <c r="B94" s="21"/>
      <c r="C94" s="21"/>
      <c r="D94" s="21"/>
      <c r="E94" s="21"/>
      <c r="F94" s="28"/>
      <c r="G94" s="28"/>
    </row>
    <row r="95" spans="1:7" s="29" customFormat="1" ht="12.75" x14ac:dyDescent="0.2">
      <c r="A95" s="21"/>
      <c r="B95" s="21"/>
      <c r="C95" s="21"/>
      <c r="D95" s="21"/>
      <c r="E95" s="21"/>
      <c r="F95" s="28"/>
      <c r="G95" s="28"/>
    </row>
    <row r="96" spans="1:7" s="29" customFormat="1" ht="12.75" x14ac:dyDescent="0.2">
      <c r="A96" s="21"/>
      <c r="B96" s="21"/>
      <c r="C96" s="21"/>
      <c r="D96" s="21"/>
      <c r="E96" s="21"/>
      <c r="F96" s="28"/>
      <c r="G96" s="28"/>
    </row>
    <row r="97" spans="1:7" s="29" customFormat="1" ht="12.75" x14ac:dyDescent="0.2">
      <c r="A97" s="21"/>
      <c r="B97" s="21"/>
      <c r="C97" s="21"/>
      <c r="D97" s="21"/>
      <c r="E97" s="21"/>
      <c r="F97" s="28"/>
      <c r="G97" s="28"/>
    </row>
    <row r="98" spans="1:7" s="29" customFormat="1" ht="12.75" x14ac:dyDescent="0.2">
      <c r="A98" s="21"/>
      <c r="B98" s="21"/>
      <c r="C98" s="21"/>
      <c r="D98" s="21"/>
      <c r="E98" s="21"/>
      <c r="F98" s="28"/>
      <c r="G98" s="28"/>
    </row>
    <row r="99" spans="1:7" s="29" customFormat="1" ht="12.75" x14ac:dyDescent="0.2">
      <c r="A99" s="21"/>
      <c r="B99" s="21"/>
      <c r="C99" s="21"/>
      <c r="D99" s="21"/>
      <c r="E99" s="21"/>
      <c r="F99" s="28"/>
      <c r="G99" s="28"/>
    </row>
    <row r="100" spans="1:7" s="29" customFormat="1" ht="12.75" x14ac:dyDescent="0.2">
      <c r="A100" s="21"/>
      <c r="B100" s="21"/>
      <c r="C100" s="21"/>
      <c r="D100" s="21"/>
      <c r="E100" s="21"/>
      <c r="F100" s="28"/>
      <c r="G100" s="28"/>
    </row>
    <row r="101" spans="1:7" s="29" customFormat="1" ht="12.75" x14ac:dyDescent="0.2">
      <c r="A101" s="21"/>
      <c r="B101" s="21"/>
      <c r="C101" s="21"/>
      <c r="D101" s="21"/>
      <c r="E101" s="21"/>
      <c r="F101" s="28"/>
      <c r="G101" s="28"/>
    </row>
    <row r="102" spans="1:7" s="29" customFormat="1" ht="12.75" x14ac:dyDescent="0.2">
      <c r="A102" s="21"/>
      <c r="B102" s="21"/>
      <c r="C102" s="21"/>
      <c r="D102" s="21"/>
      <c r="E102" s="21"/>
      <c r="F102" s="28"/>
      <c r="G102" s="28"/>
    </row>
    <row r="103" spans="1:7" s="29" customFormat="1" ht="12.75" x14ac:dyDescent="0.2">
      <c r="A103" s="21"/>
      <c r="B103" s="21"/>
      <c r="C103" s="21"/>
      <c r="D103" s="21"/>
      <c r="E103" s="21"/>
      <c r="F103" s="28"/>
      <c r="G103" s="28"/>
    </row>
    <row r="104" spans="1:7" s="29" customFormat="1" ht="12.75" x14ac:dyDescent="0.2">
      <c r="A104" s="21"/>
      <c r="B104" s="21"/>
      <c r="C104" s="21"/>
      <c r="D104" s="21"/>
      <c r="E104" s="21"/>
      <c r="F104" s="28"/>
      <c r="G104" s="28"/>
    </row>
  </sheetData>
  <mergeCells count="5">
    <mergeCell ref="A1:F2"/>
    <mergeCell ref="G1:G5"/>
    <mergeCell ref="A3:C3"/>
    <mergeCell ref="A4:C4"/>
    <mergeCell ref="A5:C5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5105D8-F5BF-42FB-A306-0E493C04FA87}">
  <sheetPr codeName="Hoja9"/>
  <dimension ref="A1:G130"/>
  <sheetViews>
    <sheetView showGridLines="0" topLeftCell="C1" zoomScale="157" zoomScaleNormal="157" zoomScaleSheetLayoutView="74" workbookViewId="0">
      <pane xSplit="5" ySplit="6" topLeftCell="H16" activePane="bottomRight" state="frozen"/>
      <selection activeCell="C1" sqref="C1"/>
      <selection pane="topRight" activeCell="H1" sqref="H1"/>
      <selection pane="bottomLeft" activeCell="C7" sqref="C7"/>
      <selection pane="bottomRight" activeCell="G19" sqref="G19"/>
    </sheetView>
  </sheetViews>
  <sheetFormatPr baseColWidth="10" defaultRowHeight="15" x14ac:dyDescent="0.25"/>
  <cols>
    <col min="1" max="1" width="4.28515625" style="6" bestFit="1" customWidth="1"/>
    <col min="2" max="2" width="12" style="6" customWidth="1"/>
    <col min="3" max="3" width="17.140625" style="6" customWidth="1"/>
    <col min="4" max="4" width="33.7109375" style="6" customWidth="1"/>
    <col min="5" max="5" width="15" style="6" customWidth="1"/>
    <col min="6" max="6" width="14.42578125" style="16" customWidth="1"/>
    <col min="7" max="7" width="26" style="16" customWidth="1"/>
  </cols>
  <sheetData>
    <row r="1" spans="1:7" ht="15" customHeight="1" x14ac:dyDescent="0.25">
      <c r="A1" s="36" t="s">
        <v>8</v>
      </c>
      <c r="B1" s="37"/>
      <c r="C1" s="37"/>
      <c r="D1" s="37"/>
      <c r="E1" s="37"/>
      <c r="F1" s="37"/>
      <c r="G1" s="52"/>
    </row>
    <row r="2" spans="1:7" ht="39" customHeight="1" thickBot="1" x14ac:dyDescent="0.3">
      <c r="A2" s="39"/>
      <c r="B2" s="40"/>
      <c r="C2" s="40"/>
      <c r="D2" s="60"/>
      <c r="E2" s="60"/>
      <c r="F2" s="60"/>
      <c r="G2" s="53"/>
    </row>
    <row r="3" spans="1:7" ht="19.5" thickTop="1" thickBot="1" x14ac:dyDescent="0.3">
      <c r="A3" s="63" t="s">
        <v>24</v>
      </c>
      <c r="B3" s="64"/>
      <c r="C3" s="65"/>
      <c r="D3" s="7"/>
      <c r="E3" s="8"/>
      <c r="F3" s="17"/>
      <c r="G3" s="53"/>
    </row>
    <row r="4" spans="1:7" ht="15.75" thickTop="1" x14ac:dyDescent="0.25">
      <c r="A4" s="58"/>
      <c r="B4" s="58"/>
      <c r="C4" s="58"/>
      <c r="D4" s="3"/>
      <c r="E4" s="3"/>
      <c r="F4" s="3"/>
      <c r="G4" s="53"/>
    </row>
    <row r="5" spans="1:7" ht="15.75" thickBot="1" x14ac:dyDescent="0.3">
      <c r="A5" s="59" t="s">
        <v>6</v>
      </c>
      <c r="B5" s="59"/>
      <c r="C5" s="59"/>
      <c r="D5" s="10" t="s">
        <v>39</v>
      </c>
      <c r="E5" s="11" t="s">
        <v>23</v>
      </c>
      <c r="F5" s="14" t="s">
        <v>50</v>
      </c>
      <c r="G5" s="54"/>
    </row>
    <row r="6" spans="1:7" ht="27.75" customHeight="1" thickBot="1" x14ac:dyDescent="0.3">
      <c r="A6" s="12" t="s">
        <v>5</v>
      </c>
      <c r="B6" s="13" t="s">
        <v>0</v>
      </c>
      <c r="C6" s="13" t="s">
        <v>1</v>
      </c>
      <c r="D6" s="13" t="s">
        <v>2</v>
      </c>
      <c r="E6" s="13" t="s">
        <v>14</v>
      </c>
      <c r="F6" s="13" t="s">
        <v>3</v>
      </c>
      <c r="G6" s="15" t="s">
        <v>4</v>
      </c>
    </row>
    <row r="7" spans="1:7" x14ac:dyDescent="0.25">
      <c r="A7" s="6">
        <v>1</v>
      </c>
      <c r="D7" s="6" t="s">
        <v>129</v>
      </c>
    </row>
    <row r="8" spans="1:7" x14ac:dyDescent="0.25">
      <c r="A8" s="6">
        <v>2</v>
      </c>
      <c r="D8" s="6" t="s">
        <v>130</v>
      </c>
    </row>
    <row r="9" spans="1:7" x14ac:dyDescent="0.25">
      <c r="A9" s="6">
        <v>3</v>
      </c>
      <c r="D9" s="6" t="s">
        <v>131</v>
      </c>
      <c r="F9" s="16">
        <f>57*4</f>
        <v>228</v>
      </c>
    </row>
    <row r="10" spans="1:7" x14ac:dyDescent="0.25">
      <c r="A10" s="6">
        <v>4</v>
      </c>
      <c r="D10" s="6" t="s">
        <v>132</v>
      </c>
    </row>
    <row r="11" spans="1:7" x14ac:dyDescent="0.25">
      <c r="A11" s="6">
        <v>5</v>
      </c>
      <c r="D11" s="6" t="s">
        <v>133</v>
      </c>
      <c r="G11" s="16">
        <v>130</v>
      </c>
    </row>
    <row r="12" spans="1:7" x14ac:dyDescent="0.25">
      <c r="A12" s="6">
        <v>6</v>
      </c>
      <c r="D12" s="6" t="s">
        <v>134</v>
      </c>
      <c r="G12" s="16">
        <v>35</v>
      </c>
    </row>
    <row r="13" spans="1:7" x14ac:dyDescent="0.25">
      <c r="A13" s="6">
        <v>7</v>
      </c>
      <c r="D13" s="6" t="s">
        <v>135</v>
      </c>
    </row>
    <row r="14" spans="1:7" x14ac:dyDescent="0.25">
      <c r="A14" s="6">
        <v>8</v>
      </c>
      <c r="D14" s="6" t="s">
        <v>457</v>
      </c>
      <c r="F14" s="16">
        <v>10</v>
      </c>
      <c r="G14" s="16">
        <v>70</v>
      </c>
    </row>
    <row r="15" spans="1:7" x14ac:dyDescent="0.25">
      <c r="A15" s="6">
        <v>9</v>
      </c>
      <c r="D15" s="6" t="s">
        <v>458</v>
      </c>
      <c r="F15" s="16">
        <v>10</v>
      </c>
      <c r="G15" s="16">
        <v>50</v>
      </c>
    </row>
    <row r="16" spans="1:7" x14ac:dyDescent="0.25">
      <c r="A16" s="6">
        <v>10</v>
      </c>
      <c r="D16" s="6" t="s">
        <v>523</v>
      </c>
      <c r="G16" s="16">
        <v>200</v>
      </c>
    </row>
    <row r="17" spans="1:7" x14ac:dyDescent="0.25">
      <c r="A17" s="6">
        <v>11</v>
      </c>
      <c r="D17" s="6" t="s">
        <v>533</v>
      </c>
      <c r="F17" s="16">
        <v>500</v>
      </c>
      <c r="G17" s="16">
        <v>250</v>
      </c>
    </row>
    <row r="18" spans="1:7" x14ac:dyDescent="0.25">
      <c r="A18" s="6">
        <v>12</v>
      </c>
      <c r="D18" s="6" t="s">
        <v>535</v>
      </c>
      <c r="G18" s="16">
        <v>140</v>
      </c>
    </row>
    <row r="19" spans="1:7" x14ac:dyDescent="0.25">
      <c r="A19" s="6">
        <v>13</v>
      </c>
      <c r="D19" s="6" t="s">
        <v>617</v>
      </c>
      <c r="G19" s="16">
        <v>180</v>
      </c>
    </row>
    <row r="20" spans="1:7" x14ac:dyDescent="0.25">
      <c r="A20" s="6">
        <v>14</v>
      </c>
    </row>
    <row r="21" spans="1:7" x14ac:dyDescent="0.25">
      <c r="A21" s="6">
        <v>15</v>
      </c>
    </row>
    <row r="22" spans="1:7" x14ac:dyDescent="0.25">
      <c r="A22" s="6">
        <v>16</v>
      </c>
    </row>
    <row r="23" spans="1:7" x14ac:dyDescent="0.25">
      <c r="A23" s="6">
        <v>17</v>
      </c>
    </row>
    <row r="24" spans="1:7" x14ac:dyDescent="0.25">
      <c r="A24" s="6">
        <v>18</v>
      </c>
    </row>
    <row r="25" spans="1:7" x14ac:dyDescent="0.25">
      <c r="A25" s="6">
        <v>19</v>
      </c>
    </row>
    <row r="26" spans="1:7" x14ac:dyDescent="0.25">
      <c r="A26" s="6">
        <v>20</v>
      </c>
    </row>
    <row r="27" spans="1:7" x14ac:dyDescent="0.25">
      <c r="A27" s="6">
        <v>21</v>
      </c>
    </row>
    <row r="28" spans="1:7" x14ac:dyDescent="0.25">
      <c r="A28" s="6">
        <v>22</v>
      </c>
    </row>
    <row r="29" spans="1:7" x14ac:dyDescent="0.25">
      <c r="A29" s="6">
        <v>23</v>
      </c>
    </row>
    <row r="30" spans="1:7" x14ac:dyDescent="0.25">
      <c r="A30" s="6">
        <v>24</v>
      </c>
    </row>
    <row r="31" spans="1:7" x14ac:dyDescent="0.25">
      <c r="A31" s="6">
        <v>25</v>
      </c>
    </row>
    <row r="32" spans="1:7" x14ac:dyDescent="0.25">
      <c r="A32" s="6">
        <v>26</v>
      </c>
    </row>
    <row r="33" spans="1:1" x14ac:dyDescent="0.25">
      <c r="A33" s="6">
        <v>27</v>
      </c>
    </row>
    <row r="34" spans="1:1" x14ac:dyDescent="0.25">
      <c r="A34" s="6">
        <v>28</v>
      </c>
    </row>
    <row r="35" spans="1:1" x14ac:dyDescent="0.25">
      <c r="A35" s="6">
        <v>29</v>
      </c>
    </row>
    <row r="36" spans="1:1" x14ac:dyDescent="0.25">
      <c r="A36" s="6">
        <v>30</v>
      </c>
    </row>
    <row r="37" spans="1:1" x14ac:dyDescent="0.25">
      <c r="A37" s="6">
        <v>31</v>
      </c>
    </row>
    <row r="38" spans="1:1" x14ac:dyDescent="0.25">
      <c r="A38" s="6">
        <v>32</v>
      </c>
    </row>
    <row r="39" spans="1:1" x14ac:dyDescent="0.25">
      <c r="A39" s="6">
        <v>33</v>
      </c>
    </row>
    <row r="40" spans="1:1" x14ac:dyDescent="0.25">
      <c r="A40" s="6">
        <v>34</v>
      </c>
    </row>
    <row r="41" spans="1:1" x14ac:dyDescent="0.25">
      <c r="A41" s="6">
        <v>35</v>
      </c>
    </row>
    <row r="42" spans="1:1" x14ac:dyDescent="0.25">
      <c r="A42" s="6">
        <v>36</v>
      </c>
    </row>
    <row r="43" spans="1:1" x14ac:dyDescent="0.25">
      <c r="A43" s="6">
        <v>37</v>
      </c>
    </row>
    <row r="44" spans="1:1" x14ac:dyDescent="0.25">
      <c r="A44" s="6">
        <v>38</v>
      </c>
    </row>
    <row r="45" spans="1:1" x14ac:dyDescent="0.25">
      <c r="A45" s="6">
        <v>39</v>
      </c>
    </row>
    <row r="46" spans="1:1" x14ac:dyDescent="0.25">
      <c r="A46" s="6">
        <v>40</v>
      </c>
    </row>
    <row r="47" spans="1:1" x14ac:dyDescent="0.25">
      <c r="A47" s="6">
        <v>41</v>
      </c>
    </row>
    <row r="48" spans="1:1" x14ac:dyDescent="0.25">
      <c r="A48" s="6">
        <v>42</v>
      </c>
    </row>
    <row r="49" spans="1:1" x14ac:dyDescent="0.25">
      <c r="A49" s="6">
        <v>43</v>
      </c>
    </row>
    <row r="50" spans="1:1" x14ac:dyDescent="0.25">
      <c r="A50" s="6">
        <v>44</v>
      </c>
    </row>
    <row r="51" spans="1:1" x14ac:dyDescent="0.25">
      <c r="A51" s="6">
        <v>45</v>
      </c>
    </row>
    <row r="52" spans="1:1" x14ac:dyDescent="0.25">
      <c r="A52" s="6">
        <v>46</v>
      </c>
    </row>
    <row r="53" spans="1:1" x14ac:dyDescent="0.25">
      <c r="A53" s="6">
        <v>47</v>
      </c>
    </row>
    <row r="54" spans="1:1" x14ac:dyDescent="0.25">
      <c r="A54" s="6">
        <v>48</v>
      </c>
    </row>
    <row r="55" spans="1:1" x14ac:dyDescent="0.25">
      <c r="A55" s="6">
        <v>49</v>
      </c>
    </row>
    <row r="56" spans="1:1" x14ac:dyDescent="0.25">
      <c r="A56" s="6">
        <v>50</v>
      </c>
    </row>
    <row r="57" spans="1:1" x14ac:dyDescent="0.25">
      <c r="A57" s="6">
        <v>51</v>
      </c>
    </row>
    <row r="58" spans="1:1" x14ac:dyDescent="0.25">
      <c r="A58" s="6">
        <v>52</v>
      </c>
    </row>
    <row r="59" spans="1:1" x14ac:dyDescent="0.25">
      <c r="A59" s="6">
        <v>53</v>
      </c>
    </row>
    <row r="60" spans="1:1" x14ac:dyDescent="0.25">
      <c r="A60" s="6">
        <v>54</v>
      </c>
    </row>
    <row r="61" spans="1:1" x14ac:dyDescent="0.25">
      <c r="A61" s="6">
        <v>55</v>
      </c>
    </row>
    <row r="62" spans="1:1" x14ac:dyDescent="0.25">
      <c r="A62" s="6">
        <v>56</v>
      </c>
    </row>
    <row r="63" spans="1:1" x14ac:dyDescent="0.25">
      <c r="A63" s="6">
        <v>57</v>
      </c>
    </row>
    <row r="64" spans="1:1" x14ac:dyDescent="0.25">
      <c r="A64" s="6">
        <v>58</v>
      </c>
    </row>
    <row r="65" spans="1:1" x14ac:dyDescent="0.25">
      <c r="A65" s="6">
        <v>59</v>
      </c>
    </row>
    <row r="66" spans="1:1" x14ac:dyDescent="0.25">
      <c r="A66" s="6">
        <v>60</v>
      </c>
    </row>
    <row r="67" spans="1:1" x14ac:dyDescent="0.25">
      <c r="A67" s="6">
        <v>61</v>
      </c>
    </row>
    <row r="68" spans="1:1" x14ac:dyDescent="0.25">
      <c r="A68" s="6">
        <v>62</v>
      </c>
    </row>
    <row r="69" spans="1:1" x14ac:dyDescent="0.25">
      <c r="A69" s="6">
        <v>63</v>
      </c>
    </row>
    <row r="70" spans="1:1" x14ac:dyDescent="0.25">
      <c r="A70" s="6">
        <v>64</v>
      </c>
    </row>
    <row r="71" spans="1:1" x14ac:dyDescent="0.25">
      <c r="A71" s="6">
        <v>65</v>
      </c>
    </row>
    <row r="72" spans="1:1" x14ac:dyDescent="0.25">
      <c r="A72" s="6">
        <v>66</v>
      </c>
    </row>
    <row r="73" spans="1:1" x14ac:dyDescent="0.25">
      <c r="A73" s="6">
        <v>67</v>
      </c>
    </row>
    <row r="74" spans="1:1" x14ac:dyDescent="0.25">
      <c r="A74" s="6">
        <v>68</v>
      </c>
    </row>
    <row r="75" spans="1:1" x14ac:dyDescent="0.25">
      <c r="A75" s="6">
        <v>69</v>
      </c>
    </row>
    <row r="76" spans="1:1" x14ac:dyDescent="0.25">
      <c r="A76" s="6">
        <v>70</v>
      </c>
    </row>
    <row r="77" spans="1:1" x14ac:dyDescent="0.25">
      <c r="A77" s="6">
        <v>71</v>
      </c>
    </row>
    <row r="78" spans="1:1" x14ac:dyDescent="0.25">
      <c r="A78" s="6">
        <v>72</v>
      </c>
    </row>
    <row r="79" spans="1:1" x14ac:dyDescent="0.25">
      <c r="A79" s="6">
        <v>73</v>
      </c>
    </row>
    <row r="80" spans="1:1" x14ac:dyDescent="0.25">
      <c r="A80" s="6">
        <v>74</v>
      </c>
    </row>
    <row r="81" spans="1:1" x14ac:dyDescent="0.25">
      <c r="A81" s="6">
        <v>75</v>
      </c>
    </row>
    <row r="82" spans="1:1" x14ac:dyDescent="0.25">
      <c r="A82" s="6">
        <v>76</v>
      </c>
    </row>
    <row r="83" spans="1:1" x14ac:dyDescent="0.25">
      <c r="A83" s="6">
        <v>77</v>
      </c>
    </row>
    <row r="84" spans="1:1" x14ac:dyDescent="0.25">
      <c r="A84" s="6">
        <v>78</v>
      </c>
    </row>
    <row r="85" spans="1:1" x14ac:dyDescent="0.25">
      <c r="A85" s="6">
        <v>79</v>
      </c>
    </row>
    <row r="86" spans="1:1" x14ac:dyDescent="0.25">
      <c r="A86" s="6">
        <v>80</v>
      </c>
    </row>
    <row r="87" spans="1:1" x14ac:dyDescent="0.25">
      <c r="A87" s="6">
        <v>81</v>
      </c>
    </row>
    <row r="88" spans="1:1" x14ac:dyDescent="0.25">
      <c r="A88" s="6">
        <v>82</v>
      </c>
    </row>
    <row r="89" spans="1:1" x14ac:dyDescent="0.25">
      <c r="A89" s="6">
        <v>83</v>
      </c>
    </row>
    <row r="90" spans="1:1" x14ac:dyDescent="0.25">
      <c r="A90" s="6">
        <v>84</v>
      </c>
    </row>
    <row r="91" spans="1:1" x14ac:dyDescent="0.25">
      <c r="A91" s="6">
        <v>85</v>
      </c>
    </row>
    <row r="92" spans="1:1" x14ac:dyDescent="0.25">
      <c r="A92" s="6">
        <v>86</v>
      </c>
    </row>
    <row r="93" spans="1:1" x14ac:dyDescent="0.25">
      <c r="A93" s="6">
        <v>87</v>
      </c>
    </row>
    <row r="94" spans="1:1" x14ac:dyDescent="0.25">
      <c r="A94" s="6">
        <v>88</v>
      </c>
    </row>
    <row r="95" spans="1:1" x14ac:dyDescent="0.25">
      <c r="A95" s="6">
        <v>89</v>
      </c>
    </row>
    <row r="96" spans="1:1" x14ac:dyDescent="0.25">
      <c r="A96" s="6">
        <v>90</v>
      </c>
    </row>
    <row r="97" spans="1:1" x14ac:dyDescent="0.25">
      <c r="A97" s="6">
        <v>91</v>
      </c>
    </row>
    <row r="98" spans="1:1" x14ac:dyDescent="0.25">
      <c r="A98" s="6">
        <v>92</v>
      </c>
    </row>
    <row r="99" spans="1:1" x14ac:dyDescent="0.25">
      <c r="A99" s="6">
        <v>93</v>
      </c>
    </row>
    <row r="100" spans="1:1" x14ac:dyDescent="0.25">
      <c r="A100" s="6">
        <v>94</v>
      </c>
    </row>
    <row r="101" spans="1:1" x14ac:dyDescent="0.25">
      <c r="A101" s="6">
        <v>95</v>
      </c>
    </row>
    <row r="102" spans="1:1" x14ac:dyDescent="0.25">
      <c r="A102" s="6">
        <v>96</v>
      </c>
    </row>
    <row r="103" spans="1:1" x14ac:dyDescent="0.25">
      <c r="A103" s="6">
        <v>97</v>
      </c>
    </row>
    <row r="104" spans="1:1" x14ac:dyDescent="0.25">
      <c r="A104" s="6">
        <v>98</v>
      </c>
    </row>
    <row r="105" spans="1:1" x14ac:dyDescent="0.25">
      <c r="A105" s="6">
        <v>99</v>
      </c>
    </row>
    <row r="106" spans="1:1" x14ac:dyDescent="0.25">
      <c r="A106" s="6">
        <v>100</v>
      </c>
    </row>
    <row r="107" spans="1:1" x14ac:dyDescent="0.25">
      <c r="A107" s="6">
        <v>101</v>
      </c>
    </row>
    <row r="108" spans="1:1" x14ac:dyDescent="0.25">
      <c r="A108" s="6">
        <v>102</v>
      </c>
    </row>
    <row r="109" spans="1:1" x14ac:dyDescent="0.25">
      <c r="A109" s="6">
        <v>103</v>
      </c>
    </row>
    <row r="110" spans="1:1" x14ac:dyDescent="0.25">
      <c r="A110" s="6">
        <v>104</v>
      </c>
    </row>
    <row r="111" spans="1:1" x14ac:dyDescent="0.25">
      <c r="A111" s="6">
        <v>105</v>
      </c>
    </row>
    <row r="112" spans="1:1" x14ac:dyDescent="0.25">
      <c r="A112" s="6">
        <v>106</v>
      </c>
    </row>
    <row r="113" spans="1:1" x14ac:dyDescent="0.25">
      <c r="A113" s="6">
        <v>107</v>
      </c>
    </row>
    <row r="114" spans="1:1" x14ac:dyDescent="0.25">
      <c r="A114" s="6">
        <v>108</v>
      </c>
    </row>
    <row r="115" spans="1:1" x14ac:dyDescent="0.25">
      <c r="A115" s="6">
        <v>109</v>
      </c>
    </row>
    <row r="116" spans="1:1" x14ac:dyDescent="0.25">
      <c r="A116" s="6">
        <v>110</v>
      </c>
    </row>
    <row r="117" spans="1:1" x14ac:dyDescent="0.25">
      <c r="A117" s="6">
        <v>111</v>
      </c>
    </row>
    <row r="118" spans="1:1" x14ac:dyDescent="0.25">
      <c r="A118" s="6">
        <v>112</v>
      </c>
    </row>
    <row r="119" spans="1:1" x14ac:dyDescent="0.25">
      <c r="A119" s="6">
        <v>113</v>
      </c>
    </row>
    <row r="120" spans="1:1" x14ac:dyDescent="0.25">
      <c r="A120" s="6">
        <v>114</v>
      </c>
    </row>
    <row r="121" spans="1:1" x14ac:dyDescent="0.25">
      <c r="A121" s="6">
        <v>115</v>
      </c>
    </row>
    <row r="122" spans="1:1" x14ac:dyDescent="0.25">
      <c r="A122" s="6">
        <v>116</v>
      </c>
    </row>
    <row r="123" spans="1:1" x14ac:dyDescent="0.25">
      <c r="A123" s="6">
        <v>117</v>
      </c>
    </row>
    <row r="124" spans="1:1" x14ac:dyDescent="0.25">
      <c r="A124" s="6">
        <v>118</v>
      </c>
    </row>
    <row r="125" spans="1:1" x14ac:dyDescent="0.25">
      <c r="A125" s="6">
        <v>119</v>
      </c>
    </row>
    <row r="126" spans="1:1" x14ac:dyDescent="0.25">
      <c r="A126" s="6">
        <v>120</v>
      </c>
    </row>
    <row r="127" spans="1:1" x14ac:dyDescent="0.25">
      <c r="A127" s="6">
        <v>121</v>
      </c>
    </row>
    <row r="128" spans="1:1" x14ac:dyDescent="0.25">
      <c r="A128" s="6">
        <v>122</v>
      </c>
    </row>
    <row r="129" spans="1:1" x14ac:dyDescent="0.25">
      <c r="A129" s="6">
        <v>123</v>
      </c>
    </row>
    <row r="130" spans="1:1" x14ac:dyDescent="0.25">
      <c r="A130" s="6">
        <v>124</v>
      </c>
    </row>
  </sheetData>
  <mergeCells count="5">
    <mergeCell ref="A1:F2"/>
    <mergeCell ref="G1:G5"/>
    <mergeCell ref="A3:C3"/>
    <mergeCell ref="A4:C4"/>
    <mergeCell ref="A5:C5"/>
  </mergeCells>
  <pageMargins left="0.7" right="0.7" top="0.75" bottom="0.75" header="0.3" footer="0.3"/>
  <pageSetup paperSize="9" orientation="portrait" horizontalDpi="0" verticalDpi="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FA664-0520-4DB7-A69F-AF8F0166548C}">
  <dimension ref="A2:B2"/>
  <sheetViews>
    <sheetView workbookViewId="0">
      <selection activeCell="F7" sqref="F7"/>
    </sheetView>
  </sheetViews>
  <sheetFormatPr baseColWidth="10" defaultRowHeight="15" x14ac:dyDescent="0.25"/>
  <cols>
    <col min="2" max="2" width="26.140625" bestFit="1" customWidth="1"/>
  </cols>
  <sheetData>
    <row r="2" spans="1:2" x14ac:dyDescent="0.25">
      <c r="A2">
        <v>76805624</v>
      </c>
      <c r="B2" t="s">
        <v>584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13</vt:i4>
      </vt:variant>
    </vt:vector>
  </HeadingPairs>
  <TitlesOfParts>
    <vt:vector size="13" baseType="lpstr">
      <vt:lpstr>CONSERVAS</vt:lpstr>
      <vt:lpstr>COCINA</vt:lpstr>
      <vt:lpstr>LIMPIEZA</vt:lpstr>
      <vt:lpstr>LÁCTEOS</vt:lpstr>
      <vt:lpstr>DULCES</vt:lpstr>
      <vt:lpstr>GALLETAS</vt:lpstr>
      <vt:lpstr>CIGARROS</vt:lpstr>
      <vt:lpstr>PLASTICOS</vt:lpstr>
      <vt:lpstr>BEBIDAS SA</vt:lpstr>
      <vt:lpstr>BEBIDAS CA</vt:lpstr>
      <vt:lpstr>MAT.HOGAR</vt:lpstr>
      <vt:lpstr>MEDICAMENTOS</vt:lpstr>
      <vt:lpstr>NUMEROS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jhonny cori peralta</dc:creator>
  <cp:lastModifiedBy>jhonny cori peralta</cp:lastModifiedBy>
  <dcterms:created xsi:type="dcterms:W3CDTF">2024-12-04T14:07:07Z</dcterms:created>
  <dcterms:modified xsi:type="dcterms:W3CDTF">2025-04-14T01:32:17Z</dcterms:modified>
</cp:coreProperties>
</file>